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13995" windowHeight="7155"/>
  </bookViews>
  <sheets>
    <sheet name="6-Phantom (2)" sheetId="10" r:id="rId1"/>
    <sheet name="4-Phantom_mod" sheetId="9" r:id="rId2"/>
    <sheet name="4-Phantom" sheetId="1" r:id="rId3"/>
    <sheet name="6-Phantom" sheetId="7" r:id="rId4"/>
    <sheet name="8-Phantom" sheetId="8" r:id="rId5"/>
    <sheet name="4-KG" sheetId="6" r:id="rId6"/>
    <sheet name="4-KG_old" sheetId="4" r:id="rId7"/>
    <sheet name="4-DPD" sheetId="5" r:id="rId8"/>
    <sheet name="Sheet2" sheetId="2" r:id="rId9"/>
    <sheet name="Sheet3" sheetId="3" r:id="rId10"/>
  </sheets>
  <calcPr calcId="144525"/>
</workbook>
</file>

<file path=xl/calcChain.xml><?xml version="1.0" encoding="utf-8"?>
<calcChain xmlns="http://schemas.openxmlformats.org/spreadsheetml/2006/main">
  <c r="D4" i="10" l="1"/>
  <c r="D5" i="10"/>
  <c r="D6" i="10"/>
  <c r="D7" i="10"/>
  <c r="E7" i="10" s="1"/>
  <c r="F7" i="10" s="1"/>
  <c r="D8" i="10"/>
  <c r="D9" i="10"/>
  <c r="D10" i="10"/>
  <c r="D11" i="10"/>
  <c r="E11" i="10" s="1"/>
  <c r="F11" i="10" s="1"/>
  <c r="D12" i="10"/>
  <c r="D13" i="10"/>
  <c r="D14" i="10"/>
  <c r="D15" i="10"/>
  <c r="E15" i="10" s="1"/>
  <c r="F15" i="10" s="1"/>
  <c r="D16" i="10"/>
  <c r="D17" i="10"/>
  <c r="D18" i="10"/>
  <c r="D19" i="10"/>
  <c r="E19" i="10" s="1"/>
  <c r="F19" i="10" s="1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E39" i="10" s="1"/>
  <c r="F39" i="10" s="1"/>
  <c r="H39" i="10" s="1"/>
  <c r="D40" i="10"/>
  <c r="D41" i="10"/>
  <c r="D42" i="10"/>
  <c r="D43" i="10"/>
  <c r="E43" i="10" s="1"/>
  <c r="F43" i="10" s="1"/>
  <c r="D44" i="10"/>
  <c r="D45" i="10"/>
  <c r="E45" i="10" s="1"/>
  <c r="F45" i="10" s="1"/>
  <c r="H45" i="10" s="1"/>
  <c r="D46" i="10"/>
  <c r="D47" i="10"/>
  <c r="E47" i="10" s="1"/>
  <c r="F47" i="10" s="1"/>
  <c r="D48" i="10"/>
  <c r="D49" i="10"/>
  <c r="E49" i="10" s="1"/>
  <c r="F49" i="10" s="1"/>
  <c r="H49" i="10" s="1"/>
  <c r="D50" i="10"/>
  <c r="D51" i="10"/>
  <c r="E51" i="10" s="1"/>
  <c r="F51" i="10" s="1"/>
  <c r="D52" i="10"/>
  <c r="D53" i="10"/>
  <c r="E53" i="10" s="1"/>
  <c r="F53" i="10" s="1"/>
  <c r="J53" i="10" s="1"/>
  <c r="D54" i="10"/>
  <c r="D55" i="10"/>
  <c r="D56" i="10"/>
  <c r="D57" i="10"/>
  <c r="E57" i="10" s="1"/>
  <c r="F57" i="10" s="1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E71" i="10" s="1"/>
  <c r="F71" i="10" s="1"/>
  <c r="D72" i="10"/>
  <c r="D73" i="10"/>
  <c r="E73" i="10" s="1"/>
  <c r="F73" i="10" s="1"/>
  <c r="J73" i="10" s="1"/>
  <c r="D74" i="10"/>
  <c r="D75" i="10"/>
  <c r="E75" i="10" s="1"/>
  <c r="F75" i="10" s="1"/>
  <c r="H75" i="10" s="1"/>
  <c r="D76" i="10"/>
  <c r="D77" i="10"/>
  <c r="D78" i="10"/>
  <c r="D79" i="10"/>
  <c r="E79" i="10" s="1"/>
  <c r="F79" i="10" s="1"/>
  <c r="H79" i="10" s="1"/>
  <c r="D80" i="10"/>
  <c r="D81" i="10"/>
  <c r="E81" i="10" s="1"/>
  <c r="F81" i="10" s="1"/>
  <c r="D82" i="10"/>
  <c r="D83" i="10"/>
  <c r="D84" i="10"/>
  <c r="D85" i="10"/>
  <c r="E85" i="10" s="1"/>
  <c r="F85" i="10" s="1"/>
  <c r="J85" i="10" s="1"/>
  <c r="D86" i="10"/>
  <c r="D87" i="10"/>
  <c r="E87" i="10" s="1"/>
  <c r="F87" i="10" s="1"/>
  <c r="D88" i="10"/>
  <c r="D89" i="10"/>
  <c r="D90" i="10"/>
  <c r="D91" i="10"/>
  <c r="D92" i="10"/>
  <c r="D93" i="10"/>
  <c r="D94" i="10"/>
  <c r="D95" i="10"/>
  <c r="E95" i="10" s="1"/>
  <c r="F95" i="10" s="1"/>
  <c r="H95" i="10" s="1"/>
  <c r="D96" i="10"/>
  <c r="E96" i="10" s="1"/>
  <c r="F96" i="10" s="1"/>
  <c r="D97" i="10"/>
  <c r="E97" i="10" s="1"/>
  <c r="F97" i="10" s="1"/>
  <c r="D98" i="10"/>
  <c r="D99" i="10"/>
  <c r="D100" i="10"/>
  <c r="E100" i="10" s="1"/>
  <c r="F100" i="10" s="1"/>
  <c r="D101" i="10"/>
  <c r="E101" i="10" s="1"/>
  <c r="F101" i="10" s="1"/>
  <c r="D102" i="10"/>
  <c r="D3" i="10"/>
  <c r="E3" i="10" s="1"/>
  <c r="F3" i="10" s="1"/>
  <c r="J102" i="10"/>
  <c r="H102" i="10"/>
  <c r="E102" i="10"/>
  <c r="F102" i="10" s="1"/>
  <c r="C102" i="10"/>
  <c r="C101" i="10"/>
  <c r="C100" i="10"/>
  <c r="E99" i="10"/>
  <c r="F99" i="10" s="1"/>
  <c r="C99" i="10"/>
  <c r="F98" i="10"/>
  <c r="H98" i="10" s="1"/>
  <c r="E98" i="10"/>
  <c r="C98" i="10"/>
  <c r="C97" i="10"/>
  <c r="C96" i="10"/>
  <c r="C95" i="10"/>
  <c r="E94" i="10"/>
  <c r="F94" i="10" s="1"/>
  <c r="C94" i="10"/>
  <c r="E93" i="10"/>
  <c r="F93" i="10" s="1"/>
  <c r="C93" i="10"/>
  <c r="F92" i="10"/>
  <c r="E92" i="10"/>
  <c r="C92" i="10"/>
  <c r="E91" i="10"/>
  <c r="F91" i="10" s="1"/>
  <c r="C91" i="10"/>
  <c r="J90" i="10"/>
  <c r="F90" i="10"/>
  <c r="H90" i="10" s="1"/>
  <c r="E90" i="10"/>
  <c r="C90" i="10"/>
  <c r="E89" i="10"/>
  <c r="F89" i="10" s="1"/>
  <c r="J89" i="10" s="1"/>
  <c r="C89" i="10"/>
  <c r="E88" i="10"/>
  <c r="F88" i="10" s="1"/>
  <c r="C88" i="10"/>
  <c r="C87" i="10"/>
  <c r="E86" i="10"/>
  <c r="F86" i="10" s="1"/>
  <c r="C86" i="10"/>
  <c r="C85" i="10"/>
  <c r="E84" i="10"/>
  <c r="F84" i="10" s="1"/>
  <c r="C84" i="10"/>
  <c r="E83" i="10"/>
  <c r="F83" i="10" s="1"/>
  <c r="C83" i="10"/>
  <c r="F82" i="10"/>
  <c r="H82" i="10" s="1"/>
  <c r="E82" i="10"/>
  <c r="C82" i="10"/>
  <c r="C81" i="10"/>
  <c r="E80" i="10"/>
  <c r="F80" i="10" s="1"/>
  <c r="C80" i="10"/>
  <c r="C79" i="10"/>
  <c r="E78" i="10"/>
  <c r="F78" i="10" s="1"/>
  <c r="C78" i="10"/>
  <c r="E77" i="10"/>
  <c r="F77" i="10" s="1"/>
  <c r="C77" i="10"/>
  <c r="F76" i="10"/>
  <c r="E76" i="10"/>
  <c r="C76" i="10"/>
  <c r="C75" i="10"/>
  <c r="E74" i="10"/>
  <c r="F74" i="10" s="1"/>
  <c r="C74" i="10"/>
  <c r="C73" i="10"/>
  <c r="E72" i="10"/>
  <c r="F72" i="10" s="1"/>
  <c r="C72" i="10"/>
  <c r="C71" i="10"/>
  <c r="E70" i="10"/>
  <c r="F70" i="10" s="1"/>
  <c r="C70" i="10"/>
  <c r="J69" i="10"/>
  <c r="E69" i="10"/>
  <c r="F69" i="10" s="1"/>
  <c r="H69" i="10" s="1"/>
  <c r="C69" i="10"/>
  <c r="F68" i="10"/>
  <c r="E68" i="10"/>
  <c r="C68" i="10"/>
  <c r="E67" i="10"/>
  <c r="F67" i="10" s="1"/>
  <c r="C67" i="10"/>
  <c r="F66" i="10"/>
  <c r="H66" i="10" s="1"/>
  <c r="E66" i="10"/>
  <c r="C66" i="10"/>
  <c r="E65" i="10"/>
  <c r="F65" i="10" s="1"/>
  <c r="J65" i="10" s="1"/>
  <c r="C65" i="10"/>
  <c r="E64" i="10"/>
  <c r="F64" i="10" s="1"/>
  <c r="C64" i="10"/>
  <c r="E63" i="10"/>
  <c r="F63" i="10" s="1"/>
  <c r="H63" i="10" s="1"/>
  <c r="C63" i="10"/>
  <c r="E62" i="10"/>
  <c r="F62" i="10" s="1"/>
  <c r="J62" i="10" s="1"/>
  <c r="C62" i="10"/>
  <c r="E61" i="10"/>
  <c r="F61" i="10" s="1"/>
  <c r="C61" i="10"/>
  <c r="E60" i="10"/>
  <c r="F60" i="10" s="1"/>
  <c r="C60" i="10"/>
  <c r="E59" i="10"/>
  <c r="F59" i="10" s="1"/>
  <c r="I59" i="10" s="1"/>
  <c r="C59" i="10"/>
  <c r="E58" i="10"/>
  <c r="F58" i="10" s="1"/>
  <c r="C58" i="10"/>
  <c r="C57" i="10"/>
  <c r="E56" i="10"/>
  <c r="F56" i="10" s="1"/>
  <c r="I56" i="10" s="1"/>
  <c r="C56" i="10"/>
  <c r="E55" i="10"/>
  <c r="F55" i="10" s="1"/>
  <c r="H55" i="10" s="1"/>
  <c r="C55" i="10"/>
  <c r="E54" i="10"/>
  <c r="F54" i="10" s="1"/>
  <c r="C54" i="10"/>
  <c r="C53" i="10"/>
  <c r="E52" i="10"/>
  <c r="F52" i="10" s="1"/>
  <c r="C52" i="10"/>
  <c r="C51" i="10"/>
  <c r="F50" i="10"/>
  <c r="H50" i="10" s="1"/>
  <c r="E50" i="10"/>
  <c r="C50" i="10"/>
  <c r="C49" i="10"/>
  <c r="E48" i="10"/>
  <c r="F48" i="10" s="1"/>
  <c r="C48" i="10"/>
  <c r="C47" i="10"/>
  <c r="E46" i="10"/>
  <c r="F46" i="10" s="1"/>
  <c r="C46" i="10"/>
  <c r="C45" i="10"/>
  <c r="E44" i="10"/>
  <c r="F44" i="10" s="1"/>
  <c r="C44" i="10"/>
  <c r="C43" i="10"/>
  <c r="E42" i="10"/>
  <c r="F42" i="10" s="1"/>
  <c r="I42" i="10" s="1"/>
  <c r="C42" i="10"/>
  <c r="E41" i="10"/>
  <c r="F41" i="10" s="1"/>
  <c r="C41" i="10"/>
  <c r="E40" i="10"/>
  <c r="F40" i="10" s="1"/>
  <c r="C40" i="10"/>
  <c r="C39" i="10"/>
  <c r="E38" i="10"/>
  <c r="F38" i="10" s="1"/>
  <c r="C38" i="10"/>
  <c r="E37" i="10"/>
  <c r="F37" i="10" s="1"/>
  <c r="J37" i="10" s="1"/>
  <c r="C37" i="10"/>
  <c r="E36" i="10"/>
  <c r="F36" i="10" s="1"/>
  <c r="C36" i="10"/>
  <c r="E35" i="10"/>
  <c r="F35" i="10" s="1"/>
  <c r="C35" i="10"/>
  <c r="E34" i="10"/>
  <c r="F34" i="10" s="1"/>
  <c r="H34" i="10" s="1"/>
  <c r="C34" i="10"/>
  <c r="E33" i="10"/>
  <c r="F33" i="10" s="1"/>
  <c r="H33" i="10" s="1"/>
  <c r="C33" i="10"/>
  <c r="E32" i="10"/>
  <c r="F32" i="10" s="1"/>
  <c r="C32" i="10"/>
  <c r="E31" i="10"/>
  <c r="F31" i="10" s="1"/>
  <c r="J31" i="10" s="1"/>
  <c r="C31" i="10"/>
  <c r="E30" i="10"/>
  <c r="F30" i="10" s="1"/>
  <c r="C30" i="10"/>
  <c r="E29" i="10"/>
  <c r="F29" i="10" s="1"/>
  <c r="H29" i="10" s="1"/>
  <c r="C29" i="10"/>
  <c r="E28" i="10"/>
  <c r="F28" i="10" s="1"/>
  <c r="C28" i="10"/>
  <c r="E27" i="10"/>
  <c r="F27" i="10" s="1"/>
  <c r="C27" i="10"/>
  <c r="E26" i="10"/>
  <c r="F26" i="10" s="1"/>
  <c r="C26" i="10"/>
  <c r="E25" i="10"/>
  <c r="F25" i="10" s="1"/>
  <c r="C25" i="10"/>
  <c r="E24" i="10"/>
  <c r="F24" i="10" s="1"/>
  <c r="J24" i="10" s="1"/>
  <c r="C24" i="10"/>
  <c r="I23" i="10"/>
  <c r="E23" i="10"/>
  <c r="F23" i="10" s="1"/>
  <c r="H23" i="10" s="1"/>
  <c r="C23" i="10"/>
  <c r="C22" i="10"/>
  <c r="E22" i="10" s="1"/>
  <c r="F22" i="10" s="1"/>
  <c r="C21" i="10"/>
  <c r="C20" i="10"/>
  <c r="E20" i="10" s="1"/>
  <c r="F20" i="10" s="1"/>
  <c r="C19" i="10"/>
  <c r="C18" i="10"/>
  <c r="E18" i="10" s="1"/>
  <c r="F18" i="10" s="1"/>
  <c r="E17" i="10"/>
  <c r="F17" i="10" s="1"/>
  <c r="C17" i="10"/>
  <c r="C16" i="10"/>
  <c r="E16" i="10" s="1"/>
  <c r="F16" i="10" s="1"/>
  <c r="C15" i="10"/>
  <c r="C14" i="10"/>
  <c r="E14" i="10" s="1"/>
  <c r="F14" i="10" s="1"/>
  <c r="E13" i="10"/>
  <c r="F13" i="10" s="1"/>
  <c r="C13" i="10"/>
  <c r="C12" i="10"/>
  <c r="E12" i="10" s="1"/>
  <c r="F12" i="10" s="1"/>
  <c r="C11" i="10"/>
  <c r="C10" i="10"/>
  <c r="E10" i="10" s="1"/>
  <c r="F10" i="10" s="1"/>
  <c r="E9" i="10"/>
  <c r="F9" i="10" s="1"/>
  <c r="C9" i="10"/>
  <c r="C8" i="10"/>
  <c r="E8" i="10" s="1"/>
  <c r="F8" i="10" s="1"/>
  <c r="C7" i="10"/>
  <c r="C6" i="10"/>
  <c r="E6" i="10" s="1"/>
  <c r="F6" i="10" s="1"/>
  <c r="E5" i="10"/>
  <c r="F5" i="10" s="1"/>
  <c r="C5" i="10"/>
  <c r="C4" i="10"/>
  <c r="E4" i="10" s="1"/>
  <c r="F4" i="10" s="1"/>
  <c r="C3" i="10"/>
  <c r="D4" i="9"/>
  <c r="D5" i="9"/>
  <c r="E5" i="9" s="1"/>
  <c r="F5" i="9" s="1"/>
  <c r="D6" i="9"/>
  <c r="D7" i="9"/>
  <c r="D8" i="9"/>
  <c r="D9" i="9"/>
  <c r="E9" i="9" s="1"/>
  <c r="F9" i="9" s="1"/>
  <c r="D10" i="9"/>
  <c r="D11" i="9"/>
  <c r="D12" i="9"/>
  <c r="D13" i="9"/>
  <c r="E13" i="9" s="1"/>
  <c r="F13" i="9" s="1"/>
  <c r="D14" i="9"/>
  <c r="D15" i="9"/>
  <c r="D16" i="9"/>
  <c r="D17" i="9"/>
  <c r="E17" i="9" s="1"/>
  <c r="F17" i="9" s="1"/>
  <c r="D18" i="9"/>
  <c r="D19" i="9"/>
  <c r="D20" i="9"/>
  <c r="D21" i="9"/>
  <c r="E21" i="9" s="1"/>
  <c r="F21" i="9" s="1"/>
  <c r="D22" i="9"/>
  <c r="D23" i="9"/>
  <c r="D24" i="9"/>
  <c r="D25" i="9"/>
  <c r="E25" i="9" s="1"/>
  <c r="F25" i="9" s="1"/>
  <c r="D26" i="9"/>
  <c r="D27" i="9"/>
  <c r="D28" i="9"/>
  <c r="D29" i="9"/>
  <c r="E29" i="9" s="1"/>
  <c r="F29" i="9" s="1"/>
  <c r="D30" i="9"/>
  <c r="D31" i="9"/>
  <c r="D32" i="9"/>
  <c r="D33" i="9"/>
  <c r="E33" i="9" s="1"/>
  <c r="F33" i="9" s="1"/>
  <c r="D34" i="9"/>
  <c r="D35" i="9"/>
  <c r="D36" i="9"/>
  <c r="D37" i="9"/>
  <c r="E37" i="9" s="1"/>
  <c r="F37" i="9" s="1"/>
  <c r="I37" i="9" s="1"/>
  <c r="D38" i="9"/>
  <c r="D39" i="9"/>
  <c r="D40" i="9"/>
  <c r="D41" i="9"/>
  <c r="E41" i="9" s="1"/>
  <c r="F41" i="9" s="1"/>
  <c r="I41" i="9" s="1"/>
  <c r="D42" i="9"/>
  <c r="D43" i="9"/>
  <c r="D44" i="9"/>
  <c r="D45" i="9"/>
  <c r="E45" i="9" s="1"/>
  <c r="F45" i="9" s="1"/>
  <c r="I45" i="9" s="1"/>
  <c r="D46" i="9"/>
  <c r="D47" i="9"/>
  <c r="D48" i="9"/>
  <c r="D49" i="9"/>
  <c r="E49" i="9" s="1"/>
  <c r="F49" i="9" s="1"/>
  <c r="I49" i="9" s="1"/>
  <c r="D50" i="9"/>
  <c r="D51" i="9"/>
  <c r="D52" i="9"/>
  <c r="D53" i="9"/>
  <c r="E53" i="9" s="1"/>
  <c r="F53" i="9" s="1"/>
  <c r="I53" i="9" s="1"/>
  <c r="D54" i="9"/>
  <c r="D55" i="9"/>
  <c r="D56" i="9"/>
  <c r="D57" i="9"/>
  <c r="E57" i="9" s="1"/>
  <c r="F57" i="9" s="1"/>
  <c r="I57" i="9" s="1"/>
  <c r="D58" i="9"/>
  <c r="D59" i="9"/>
  <c r="D60" i="9"/>
  <c r="D61" i="9"/>
  <c r="E61" i="9" s="1"/>
  <c r="F61" i="9" s="1"/>
  <c r="I61" i="9" s="1"/>
  <c r="D62" i="9"/>
  <c r="D63" i="9"/>
  <c r="D64" i="9"/>
  <c r="D65" i="9"/>
  <c r="E65" i="9" s="1"/>
  <c r="F65" i="9" s="1"/>
  <c r="I65" i="9" s="1"/>
  <c r="D66" i="9"/>
  <c r="D67" i="9"/>
  <c r="D68" i="9"/>
  <c r="D69" i="9"/>
  <c r="E69" i="9" s="1"/>
  <c r="F69" i="9" s="1"/>
  <c r="I69" i="9" s="1"/>
  <c r="D70" i="9"/>
  <c r="D71" i="9"/>
  <c r="D72" i="9"/>
  <c r="D73" i="9"/>
  <c r="E73" i="9" s="1"/>
  <c r="F73" i="9" s="1"/>
  <c r="I73" i="9" s="1"/>
  <c r="D74" i="9"/>
  <c r="D75" i="9"/>
  <c r="D76" i="9"/>
  <c r="D77" i="9"/>
  <c r="E77" i="9" s="1"/>
  <c r="F77" i="9" s="1"/>
  <c r="D78" i="9"/>
  <c r="D79" i="9"/>
  <c r="D80" i="9"/>
  <c r="D81" i="9"/>
  <c r="E81" i="9" s="1"/>
  <c r="F81" i="9" s="1"/>
  <c r="D82" i="9"/>
  <c r="D83" i="9"/>
  <c r="D84" i="9"/>
  <c r="D85" i="9"/>
  <c r="E85" i="9" s="1"/>
  <c r="F85" i="9" s="1"/>
  <c r="D86" i="9"/>
  <c r="D87" i="9"/>
  <c r="D88" i="9"/>
  <c r="D89" i="9"/>
  <c r="E89" i="9" s="1"/>
  <c r="F89" i="9" s="1"/>
  <c r="D90" i="9"/>
  <c r="D91" i="9"/>
  <c r="D92" i="9"/>
  <c r="D93" i="9"/>
  <c r="E93" i="9" s="1"/>
  <c r="F93" i="9" s="1"/>
  <c r="D94" i="9"/>
  <c r="D95" i="9"/>
  <c r="D96" i="9"/>
  <c r="D97" i="9"/>
  <c r="E97" i="9" s="1"/>
  <c r="F97" i="9" s="1"/>
  <c r="D98" i="9"/>
  <c r="D99" i="9"/>
  <c r="D100" i="9"/>
  <c r="D101" i="9"/>
  <c r="E101" i="9" s="1"/>
  <c r="F101" i="9" s="1"/>
  <c r="D102" i="9"/>
  <c r="D3" i="9"/>
  <c r="E3" i="9" s="1"/>
  <c r="F3" i="9" s="1"/>
  <c r="E102" i="9"/>
  <c r="F102" i="9" s="1"/>
  <c r="C102" i="9"/>
  <c r="C101" i="9"/>
  <c r="E100" i="9"/>
  <c r="F100" i="9" s="1"/>
  <c r="C100" i="9"/>
  <c r="E99" i="9"/>
  <c r="F99" i="9" s="1"/>
  <c r="C99" i="9"/>
  <c r="E98" i="9"/>
  <c r="F98" i="9" s="1"/>
  <c r="C98" i="9"/>
  <c r="C97" i="9"/>
  <c r="E96" i="9"/>
  <c r="F96" i="9" s="1"/>
  <c r="C96" i="9"/>
  <c r="E95" i="9"/>
  <c r="F95" i="9" s="1"/>
  <c r="C95" i="9"/>
  <c r="E94" i="9"/>
  <c r="F94" i="9" s="1"/>
  <c r="C94" i="9"/>
  <c r="C93" i="9"/>
  <c r="E92" i="9"/>
  <c r="F92" i="9" s="1"/>
  <c r="C92" i="9"/>
  <c r="E91" i="9"/>
  <c r="F91" i="9" s="1"/>
  <c r="C91" i="9"/>
  <c r="E90" i="9"/>
  <c r="F90" i="9" s="1"/>
  <c r="C90" i="9"/>
  <c r="C89" i="9"/>
  <c r="E88" i="9"/>
  <c r="F88" i="9" s="1"/>
  <c r="C88" i="9"/>
  <c r="E87" i="9"/>
  <c r="F87" i="9" s="1"/>
  <c r="C87" i="9"/>
  <c r="E86" i="9"/>
  <c r="F86" i="9" s="1"/>
  <c r="C86" i="9"/>
  <c r="C85" i="9"/>
  <c r="E84" i="9"/>
  <c r="F84" i="9" s="1"/>
  <c r="C84" i="9"/>
  <c r="E83" i="9"/>
  <c r="F83" i="9" s="1"/>
  <c r="C83" i="9"/>
  <c r="E82" i="9"/>
  <c r="F82" i="9" s="1"/>
  <c r="C82" i="9"/>
  <c r="C81" i="9"/>
  <c r="E80" i="9"/>
  <c r="F80" i="9" s="1"/>
  <c r="C80" i="9"/>
  <c r="I79" i="9"/>
  <c r="E79" i="9"/>
  <c r="F79" i="9" s="1"/>
  <c r="C79" i="9"/>
  <c r="E78" i="9"/>
  <c r="F78" i="9" s="1"/>
  <c r="C78" i="9"/>
  <c r="C77" i="9"/>
  <c r="E76" i="9"/>
  <c r="F76" i="9" s="1"/>
  <c r="C76" i="9"/>
  <c r="E75" i="9"/>
  <c r="F75" i="9" s="1"/>
  <c r="I75" i="9" s="1"/>
  <c r="C75" i="9"/>
  <c r="I74" i="9"/>
  <c r="E74" i="9"/>
  <c r="F74" i="9" s="1"/>
  <c r="C74" i="9"/>
  <c r="C73" i="9"/>
  <c r="E72" i="9"/>
  <c r="F72" i="9" s="1"/>
  <c r="I72" i="9" s="1"/>
  <c r="C72" i="9"/>
  <c r="E71" i="9"/>
  <c r="F71" i="9" s="1"/>
  <c r="I71" i="9" s="1"/>
  <c r="C71" i="9"/>
  <c r="I70" i="9"/>
  <c r="E70" i="9"/>
  <c r="F70" i="9" s="1"/>
  <c r="C70" i="9"/>
  <c r="C69" i="9"/>
  <c r="E68" i="9"/>
  <c r="F68" i="9" s="1"/>
  <c r="I68" i="9" s="1"/>
  <c r="C68" i="9"/>
  <c r="E67" i="9"/>
  <c r="F67" i="9" s="1"/>
  <c r="I67" i="9" s="1"/>
  <c r="C67" i="9"/>
  <c r="I66" i="9"/>
  <c r="E66" i="9"/>
  <c r="F66" i="9" s="1"/>
  <c r="C66" i="9"/>
  <c r="C65" i="9"/>
  <c r="E64" i="9"/>
  <c r="F64" i="9" s="1"/>
  <c r="I64" i="9" s="1"/>
  <c r="C64" i="9"/>
  <c r="E63" i="9"/>
  <c r="F63" i="9" s="1"/>
  <c r="I63" i="9" s="1"/>
  <c r="C63" i="9"/>
  <c r="E62" i="9"/>
  <c r="F62" i="9" s="1"/>
  <c r="I62" i="9" s="1"/>
  <c r="C62" i="9"/>
  <c r="C61" i="9"/>
  <c r="E60" i="9"/>
  <c r="F60" i="9" s="1"/>
  <c r="I60" i="9" s="1"/>
  <c r="C60" i="9"/>
  <c r="E59" i="9"/>
  <c r="F59" i="9" s="1"/>
  <c r="I59" i="9" s="1"/>
  <c r="C59" i="9"/>
  <c r="E58" i="9"/>
  <c r="F58" i="9" s="1"/>
  <c r="I58" i="9" s="1"/>
  <c r="C58" i="9"/>
  <c r="C57" i="9"/>
  <c r="E56" i="9"/>
  <c r="F56" i="9" s="1"/>
  <c r="I56" i="9" s="1"/>
  <c r="C56" i="9"/>
  <c r="E55" i="9"/>
  <c r="F55" i="9" s="1"/>
  <c r="I55" i="9" s="1"/>
  <c r="C55" i="9"/>
  <c r="E54" i="9"/>
  <c r="F54" i="9" s="1"/>
  <c r="I54" i="9" s="1"/>
  <c r="C54" i="9"/>
  <c r="C53" i="9"/>
  <c r="E52" i="9"/>
  <c r="F52" i="9" s="1"/>
  <c r="I52" i="9" s="1"/>
  <c r="C52" i="9"/>
  <c r="E51" i="9"/>
  <c r="F51" i="9" s="1"/>
  <c r="C51" i="9"/>
  <c r="E50" i="9"/>
  <c r="F50" i="9" s="1"/>
  <c r="I50" i="9" s="1"/>
  <c r="C50" i="9"/>
  <c r="C49" i="9"/>
  <c r="E48" i="9"/>
  <c r="F48" i="9" s="1"/>
  <c r="C48" i="9"/>
  <c r="E47" i="9"/>
  <c r="F47" i="9" s="1"/>
  <c r="I47" i="9" s="1"/>
  <c r="C47" i="9"/>
  <c r="E46" i="9"/>
  <c r="F46" i="9" s="1"/>
  <c r="C46" i="9"/>
  <c r="C45" i="9"/>
  <c r="E44" i="9"/>
  <c r="F44" i="9" s="1"/>
  <c r="C44" i="9"/>
  <c r="E43" i="9"/>
  <c r="F43" i="9" s="1"/>
  <c r="I43" i="9" s="1"/>
  <c r="C43" i="9"/>
  <c r="E42" i="9"/>
  <c r="F42" i="9" s="1"/>
  <c r="C42" i="9"/>
  <c r="C41" i="9"/>
  <c r="E40" i="9"/>
  <c r="F40" i="9" s="1"/>
  <c r="C40" i="9"/>
  <c r="E39" i="9"/>
  <c r="F39" i="9" s="1"/>
  <c r="I39" i="9" s="1"/>
  <c r="C39" i="9"/>
  <c r="E38" i="9"/>
  <c r="F38" i="9" s="1"/>
  <c r="C38" i="9"/>
  <c r="C37" i="9"/>
  <c r="E36" i="9"/>
  <c r="F36" i="9" s="1"/>
  <c r="C36" i="9"/>
  <c r="E35" i="9"/>
  <c r="F35" i="9" s="1"/>
  <c r="C35" i="9"/>
  <c r="E34" i="9"/>
  <c r="F34" i="9" s="1"/>
  <c r="I34" i="9" s="1"/>
  <c r="C34" i="9"/>
  <c r="C33" i="9"/>
  <c r="E32" i="9"/>
  <c r="F32" i="9" s="1"/>
  <c r="I32" i="9" s="1"/>
  <c r="C32" i="9"/>
  <c r="E31" i="9"/>
  <c r="F31" i="9" s="1"/>
  <c r="C31" i="9"/>
  <c r="E30" i="9"/>
  <c r="F30" i="9" s="1"/>
  <c r="I30" i="9" s="1"/>
  <c r="C30" i="9"/>
  <c r="C29" i="9"/>
  <c r="E28" i="9"/>
  <c r="F28" i="9" s="1"/>
  <c r="I28" i="9" s="1"/>
  <c r="C28" i="9"/>
  <c r="E27" i="9"/>
  <c r="F27" i="9" s="1"/>
  <c r="C27" i="9"/>
  <c r="E26" i="9"/>
  <c r="F26" i="9" s="1"/>
  <c r="I26" i="9" s="1"/>
  <c r="C26" i="9"/>
  <c r="C25" i="9"/>
  <c r="E24" i="9"/>
  <c r="F24" i="9" s="1"/>
  <c r="I24" i="9" s="1"/>
  <c r="C24" i="9"/>
  <c r="E23" i="9"/>
  <c r="F23" i="9" s="1"/>
  <c r="C23" i="9"/>
  <c r="E22" i="9"/>
  <c r="F22" i="9" s="1"/>
  <c r="I22" i="9" s="1"/>
  <c r="C22" i="9"/>
  <c r="C21" i="9"/>
  <c r="E20" i="9"/>
  <c r="F20" i="9" s="1"/>
  <c r="I20" i="9" s="1"/>
  <c r="C20" i="9"/>
  <c r="E19" i="9"/>
  <c r="F19" i="9" s="1"/>
  <c r="C19" i="9"/>
  <c r="E18" i="9"/>
  <c r="F18" i="9" s="1"/>
  <c r="I18" i="9" s="1"/>
  <c r="C18" i="9"/>
  <c r="C17" i="9"/>
  <c r="E16" i="9"/>
  <c r="F16" i="9" s="1"/>
  <c r="C16" i="9"/>
  <c r="F15" i="9"/>
  <c r="I15" i="9" s="1"/>
  <c r="E15" i="9"/>
  <c r="C15" i="9"/>
  <c r="E14" i="9"/>
  <c r="F14" i="9" s="1"/>
  <c r="C14" i="9"/>
  <c r="C13" i="9"/>
  <c r="E12" i="9"/>
  <c r="F12" i="9" s="1"/>
  <c r="C12" i="9"/>
  <c r="E11" i="9"/>
  <c r="F11" i="9" s="1"/>
  <c r="C11" i="9"/>
  <c r="F10" i="9"/>
  <c r="J10" i="9" s="1"/>
  <c r="E10" i="9"/>
  <c r="C10" i="9"/>
  <c r="C9" i="9"/>
  <c r="E8" i="9"/>
  <c r="F8" i="9" s="1"/>
  <c r="C8" i="9"/>
  <c r="E7" i="9"/>
  <c r="F7" i="9" s="1"/>
  <c r="C7" i="9"/>
  <c r="E6" i="9"/>
  <c r="F6" i="9" s="1"/>
  <c r="C6" i="9"/>
  <c r="C5" i="9"/>
  <c r="E4" i="9"/>
  <c r="F4" i="9" s="1"/>
  <c r="G4" i="9" s="1"/>
  <c r="C4" i="9"/>
  <c r="C3" i="9"/>
  <c r="J86" i="10" l="1"/>
  <c r="H86" i="10"/>
  <c r="J70" i="10"/>
  <c r="H70" i="10"/>
  <c r="J74" i="10"/>
  <c r="H74" i="10"/>
  <c r="J78" i="10"/>
  <c r="H78" i="10"/>
  <c r="J94" i="10"/>
  <c r="H94" i="10"/>
  <c r="J66" i="10"/>
  <c r="J82" i="10"/>
  <c r="J98" i="10"/>
  <c r="E21" i="10"/>
  <c r="F21" i="10" s="1"/>
  <c r="J21" i="10" s="1"/>
  <c r="I4" i="10"/>
  <c r="G4" i="10"/>
  <c r="J4" i="10"/>
  <c r="H4" i="10"/>
  <c r="I9" i="10"/>
  <c r="H9" i="10"/>
  <c r="J9" i="10"/>
  <c r="G9" i="10"/>
  <c r="I17" i="10"/>
  <c r="H17" i="10"/>
  <c r="G17" i="10"/>
  <c r="J17" i="10"/>
  <c r="G25" i="10"/>
  <c r="I25" i="10"/>
  <c r="J25" i="10"/>
  <c r="H25" i="10"/>
  <c r="G51" i="10"/>
  <c r="I51" i="10"/>
  <c r="H51" i="10"/>
  <c r="J51" i="10"/>
  <c r="I7" i="10"/>
  <c r="H7" i="10"/>
  <c r="G7" i="10"/>
  <c r="J7" i="10"/>
  <c r="I10" i="10"/>
  <c r="G10" i="10"/>
  <c r="J10" i="10"/>
  <c r="H10" i="10"/>
  <c r="I15" i="10"/>
  <c r="H15" i="10"/>
  <c r="G15" i="10"/>
  <c r="J15" i="10"/>
  <c r="I18" i="10"/>
  <c r="J18" i="10"/>
  <c r="H18" i="10"/>
  <c r="G18" i="10"/>
  <c r="I21" i="10"/>
  <c r="G21" i="10"/>
  <c r="H21" i="10"/>
  <c r="G30" i="10"/>
  <c r="J30" i="10"/>
  <c r="I30" i="10"/>
  <c r="H30" i="10"/>
  <c r="G36" i="10"/>
  <c r="H36" i="10"/>
  <c r="J36" i="10"/>
  <c r="I36" i="10"/>
  <c r="I5" i="10"/>
  <c r="H5" i="10"/>
  <c r="G5" i="10"/>
  <c r="J5" i="10"/>
  <c r="I8" i="10"/>
  <c r="H8" i="10"/>
  <c r="G8" i="10"/>
  <c r="J8" i="10"/>
  <c r="I13" i="10"/>
  <c r="H13" i="10"/>
  <c r="G13" i="10"/>
  <c r="J13" i="10"/>
  <c r="I16" i="10"/>
  <c r="H16" i="10"/>
  <c r="J16" i="10"/>
  <c r="G16" i="10"/>
  <c r="J22" i="10"/>
  <c r="G22" i="10"/>
  <c r="H22" i="10"/>
  <c r="I22" i="10"/>
  <c r="G28" i="10"/>
  <c r="H28" i="10"/>
  <c r="I28" i="10"/>
  <c r="J28" i="10"/>
  <c r="G32" i="10"/>
  <c r="H32" i="10"/>
  <c r="J32" i="10"/>
  <c r="I32" i="10"/>
  <c r="G46" i="10"/>
  <c r="J46" i="10"/>
  <c r="I46" i="10"/>
  <c r="H46" i="10"/>
  <c r="G52" i="10"/>
  <c r="H52" i="10"/>
  <c r="J52" i="10"/>
  <c r="I52" i="10"/>
  <c r="I12" i="10"/>
  <c r="H12" i="10"/>
  <c r="G12" i="10"/>
  <c r="J12" i="10"/>
  <c r="J20" i="10"/>
  <c r="G20" i="10"/>
  <c r="H20" i="10"/>
  <c r="I20" i="10"/>
  <c r="I60" i="10"/>
  <c r="G60" i="10"/>
  <c r="H60" i="10"/>
  <c r="J60" i="10"/>
  <c r="I88" i="10"/>
  <c r="G88" i="10"/>
  <c r="J88" i="10"/>
  <c r="H88" i="10"/>
  <c r="I3" i="10"/>
  <c r="H3" i="10"/>
  <c r="J3" i="10"/>
  <c r="G3" i="10"/>
  <c r="I6" i="10"/>
  <c r="J6" i="10"/>
  <c r="H6" i="10"/>
  <c r="G6" i="10"/>
  <c r="I11" i="10"/>
  <c r="H11" i="10"/>
  <c r="J11" i="10"/>
  <c r="G11" i="10"/>
  <c r="I14" i="10"/>
  <c r="J14" i="10"/>
  <c r="H14" i="10"/>
  <c r="G14" i="10"/>
  <c r="J19" i="10"/>
  <c r="I19" i="10"/>
  <c r="H19" i="10"/>
  <c r="G19" i="10"/>
  <c r="G35" i="10"/>
  <c r="I35" i="10"/>
  <c r="H35" i="10"/>
  <c r="J35" i="10"/>
  <c r="G44" i="10"/>
  <c r="H44" i="10"/>
  <c r="I44" i="10"/>
  <c r="J44" i="10"/>
  <c r="G48" i="10"/>
  <c r="H48" i="10"/>
  <c r="J48" i="10"/>
  <c r="I48" i="10"/>
  <c r="G27" i="10"/>
  <c r="J27" i="10"/>
  <c r="G43" i="10"/>
  <c r="J43" i="10"/>
  <c r="G47" i="10"/>
  <c r="H47" i="10"/>
  <c r="I64" i="10"/>
  <c r="G64" i="10"/>
  <c r="H64" i="10"/>
  <c r="I68" i="10"/>
  <c r="G68" i="10"/>
  <c r="H68" i="10"/>
  <c r="I72" i="10"/>
  <c r="G72" i="10"/>
  <c r="J72" i="10"/>
  <c r="H72" i="10"/>
  <c r="I80" i="10"/>
  <c r="G80" i="10"/>
  <c r="J80" i="10"/>
  <c r="H80" i="10"/>
  <c r="I84" i="10"/>
  <c r="G84" i="10"/>
  <c r="J84" i="10"/>
  <c r="H84" i="10"/>
  <c r="I97" i="10"/>
  <c r="G97" i="10"/>
  <c r="H97" i="10"/>
  <c r="J97" i="10"/>
  <c r="G26" i="10"/>
  <c r="J26" i="10"/>
  <c r="H26" i="10"/>
  <c r="I31" i="10"/>
  <c r="G38" i="10"/>
  <c r="J38" i="10"/>
  <c r="G40" i="10"/>
  <c r="H40" i="10"/>
  <c r="H43" i="10"/>
  <c r="I47" i="10"/>
  <c r="G54" i="10"/>
  <c r="J54" i="10"/>
  <c r="G58" i="10"/>
  <c r="J58" i="10"/>
  <c r="H58" i="10"/>
  <c r="H59" i="10"/>
  <c r="J64" i="10"/>
  <c r="J68" i="10"/>
  <c r="I71" i="10"/>
  <c r="G71" i="10"/>
  <c r="J71" i="10"/>
  <c r="H71" i="10"/>
  <c r="I91" i="10"/>
  <c r="G91" i="10"/>
  <c r="J91" i="10"/>
  <c r="I92" i="10"/>
  <c r="G92" i="10"/>
  <c r="J92" i="10"/>
  <c r="H92" i="10"/>
  <c r="I26" i="10"/>
  <c r="I27" i="10"/>
  <c r="G29" i="10"/>
  <c r="I29" i="10"/>
  <c r="J29" i="10"/>
  <c r="G34" i="10"/>
  <c r="J34" i="10"/>
  <c r="I34" i="10"/>
  <c r="G37" i="10"/>
  <c r="I37" i="10"/>
  <c r="H37" i="10"/>
  <c r="H38" i="10"/>
  <c r="G39" i="10"/>
  <c r="J39" i="10"/>
  <c r="I39" i="10"/>
  <c r="I40" i="10"/>
  <c r="I43" i="10"/>
  <c r="G45" i="10"/>
  <c r="I45" i="10"/>
  <c r="J45" i="10"/>
  <c r="J47" i="10"/>
  <c r="G50" i="10"/>
  <c r="J50" i="10"/>
  <c r="I50" i="10"/>
  <c r="G53" i="10"/>
  <c r="I53" i="10"/>
  <c r="H53" i="10"/>
  <c r="H54" i="10"/>
  <c r="G55" i="10"/>
  <c r="J55" i="10"/>
  <c r="I55" i="10"/>
  <c r="I58" i="10"/>
  <c r="I81" i="10"/>
  <c r="G81" i="10"/>
  <c r="H81" i="10"/>
  <c r="J81" i="10"/>
  <c r="I85" i="10"/>
  <c r="G85" i="10"/>
  <c r="H85" i="10"/>
  <c r="H91" i="10"/>
  <c r="I96" i="10"/>
  <c r="G96" i="10"/>
  <c r="J96" i="10"/>
  <c r="H96" i="10"/>
  <c r="I100" i="10"/>
  <c r="G100" i="10"/>
  <c r="J100" i="10"/>
  <c r="H100" i="10"/>
  <c r="G24" i="10"/>
  <c r="H24" i="10"/>
  <c r="G31" i="10"/>
  <c r="H31" i="10"/>
  <c r="G59" i="10"/>
  <c r="J59" i="10"/>
  <c r="I67" i="10"/>
  <c r="G67" i="10"/>
  <c r="J67" i="10"/>
  <c r="I101" i="10"/>
  <c r="G101" i="10"/>
  <c r="H101" i="10"/>
  <c r="I24" i="10"/>
  <c r="H27" i="10"/>
  <c r="G33" i="10"/>
  <c r="I33" i="10"/>
  <c r="G42" i="10"/>
  <c r="J42" i="10"/>
  <c r="H42" i="10"/>
  <c r="G49" i="10"/>
  <c r="I49" i="10"/>
  <c r="G56" i="10"/>
  <c r="H56" i="10"/>
  <c r="I63" i="10"/>
  <c r="G63" i="10"/>
  <c r="J63" i="10"/>
  <c r="H67" i="10"/>
  <c r="J101" i="10"/>
  <c r="G23" i="10"/>
  <c r="J23" i="10"/>
  <c r="J33" i="10"/>
  <c r="I38" i="10"/>
  <c r="J40" i="10"/>
  <c r="G41" i="10"/>
  <c r="I41" i="10"/>
  <c r="J41" i="10"/>
  <c r="H41" i="10"/>
  <c r="J49" i="10"/>
  <c r="I54" i="10"/>
  <c r="J56" i="10"/>
  <c r="G57" i="10"/>
  <c r="I57" i="10"/>
  <c r="J57" i="10"/>
  <c r="H57" i="10"/>
  <c r="I61" i="10"/>
  <c r="G61" i="10"/>
  <c r="J61" i="10"/>
  <c r="H61" i="10"/>
  <c r="I75" i="10"/>
  <c r="G75" i="10"/>
  <c r="J75" i="10"/>
  <c r="I76" i="10"/>
  <c r="G76" i="10"/>
  <c r="J76" i="10"/>
  <c r="H76" i="10"/>
  <c r="I87" i="10"/>
  <c r="G87" i="10"/>
  <c r="J87" i="10"/>
  <c r="H87" i="10"/>
  <c r="I62" i="10"/>
  <c r="G62" i="10"/>
  <c r="I65" i="10"/>
  <c r="G65" i="10"/>
  <c r="I77" i="10"/>
  <c r="G77" i="10"/>
  <c r="H77" i="10"/>
  <c r="I83" i="10"/>
  <c r="G83" i="10"/>
  <c r="J83" i="10"/>
  <c r="I93" i="10"/>
  <c r="G93" i="10"/>
  <c r="H93" i="10"/>
  <c r="I99" i="10"/>
  <c r="G99" i="10"/>
  <c r="J99" i="10"/>
  <c r="H62" i="10"/>
  <c r="H65" i="10"/>
  <c r="I66" i="10"/>
  <c r="G66" i="10"/>
  <c r="I69" i="10"/>
  <c r="G69" i="10"/>
  <c r="I73" i="10"/>
  <c r="G73" i="10"/>
  <c r="H73" i="10"/>
  <c r="J77" i="10"/>
  <c r="I79" i="10"/>
  <c r="G79" i="10"/>
  <c r="J79" i="10"/>
  <c r="H83" i="10"/>
  <c r="I89" i="10"/>
  <c r="G89" i="10"/>
  <c r="H89" i="10"/>
  <c r="J93" i="10"/>
  <c r="I95" i="10"/>
  <c r="G95" i="10"/>
  <c r="J95" i="10"/>
  <c r="H99" i="10"/>
  <c r="I102" i="10"/>
  <c r="G102" i="10"/>
  <c r="I70" i="10"/>
  <c r="G70" i="10"/>
  <c r="I74" i="10"/>
  <c r="G74" i="10"/>
  <c r="I78" i="10"/>
  <c r="G78" i="10"/>
  <c r="I82" i="10"/>
  <c r="G82" i="10"/>
  <c r="I86" i="10"/>
  <c r="G86" i="10"/>
  <c r="I90" i="10"/>
  <c r="G90" i="10"/>
  <c r="I94" i="10"/>
  <c r="G94" i="10"/>
  <c r="I98" i="10"/>
  <c r="G98" i="10"/>
  <c r="G16" i="9"/>
  <c r="J16" i="9"/>
  <c r="I16" i="9"/>
  <c r="H16" i="9"/>
  <c r="G17" i="9"/>
  <c r="H17" i="9"/>
  <c r="J17" i="9"/>
  <c r="I17" i="9"/>
  <c r="G3" i="9"/>
  <c r="J3" i="9"/>
  <c r="I3" i="9"/>
  <c r="H3" i="9"/>
  <c r="G6" i="9"/>
  <c r="I6" i="9"/>
  <c r="J6" i="9"/>
  <c r="H6" i="9"/>
  <c r="G8" i="9"/>
  <c r="H8" i="9"/>
  <c r="J8" i="9"/>
  <c r="I8" i="9"/>
  <c r="G11" i="9"/>
  <c r="J11" i="9"/>
  <c r="I11" i="9"/>
  <c r="H11" i="9"/>
  <c r="G14" i="9"/>
  <c r="I14" i="9"/>
  <c r="J14" i="9"/>
  <c r="H14" i="9"/>
  <c r="G5" i="9"/>
  <c r="H5" i="9"/>
  <c r="J5" i="9"/>
  <c r="I5" i="9"/>
  <c r="G13" i="9"/>
  <c r="H13" i="9"/>
  <c r="J13" i="9"/>
  <c r="I13" i="9"/>
  <c r="G7" i="9"/>
  <c r="J7" i="9"/>
  <c r="H7" i="9"/>
  <c r="I7" i="9"/>
  <c r="G9" i="9"/>
  <c r="H9" i="9"/>
  <c r="J9" i="9"/>
  <c r="I9" i="9"/>
  <c r="G12" i="9"/>
  <c r="J12" i="9"/>
  <c r="I12" i="9"/>
  <c r="H12" i="9"/>
  <c r="H78" i="9"/>
  <c r="G78" i="9"/>
  <c r="J78" i="9"/>
  <c r="I78" i="9"/>
  <c r="H87" i="9"/>
  <c r="G87" i="9"/>
  <c r="J87" i="9"/>
  <c r="I87" i="9"/>
  <c r="H95" i="9"/>
  <c r="G95" i="9"/>
  <c r="J95" i="9"/>
  <c r="I95" i="9"/>
  <c r="H99" i="9"/>
  <c r="G99" i="9"/>
  <c r="J99" i="9"/>
  <c r="I99" i="9"/>
  <c r="H10" i="9"/>
  <c r="H15" i="9"/>
  <c r="H19" i="9"/>
  <c r="G19" i="9"/>
  <c r="J19" i="9"/>
  <c r="H21" i="9"/>
  <c r="G21" i="9"/>
  <c r="J21" i="9"/>
  <c r="H23" i="9"/>
  <c r="G23" i="9"/>
  <c r="J23" i="9"/>
  <c r="H25" i="9"/>
  <c r="G25" i="9"/>
  <c r="J25" i="9"/>
  <c r="H27" i="9"/>
  <c r="G27" i="9"/>
  <c r="J27" i="9"/>
  <c r="H29" i="9"/>
  <c r="G29" i="9"/>
  <c r="J29" i="9"/>
  <c r="H31" i="9"/>
  <c r="G31" i="9"/>
  <c r="J31" i="9"/>
  <c r="H33" i="9"/>
  <c r="G33" i="9"/>
  <c r="J33" i="9"/>
  <c r="H35" i="9"/>
  <c r="G35" i="9"/>
  <c r="J35" i="9"/>
  <c r="H36" i="9"/>
  <c r="G36" i="9"/>
  <c r="J36" i="9"/>
  <c r="H38" i="9"/>
  <c r="G38" i="9"/>
  <c r="J38" i="9"/>
  <c r="H40" i="9"/>
  <c r="G40" i="9"/>
  <c r="J40" i="9"/>
  <c r="H42" i="9"/>
  <c r="G42" i="9"/>
  <c r="J42" i="9"/>
  <c r="H44" i="9"/>
  <c r="G44" i="9"/>
  <c r="J44" i="9"/>
  <c r="H46" i="9"/>
  <c r="G46" i="9"/>
  <c r="J46" i="9"/>
  <c r="H48" i="9"/>
  <c r="G48" i="9"/>
  <c r="J48" i="9"/>
  <c r="H51" i="9"/>
  <c r="G51" i="9"/>
  <c r="J51" i="9"/>
  <c r="I4" i="9"/>
  <c r="I19" i="9"/>
  <c r="I21" i="9"/>
  <c r="I23" i="9"/>
  <c r="I25" i="9"/>
  <c r="I27" i="9"/>
  <c r="I29" i="9"/>
  <c r="I31" i="9"/>
  <c r="I33" i="9"/>
  <c r="I35" i="9"/>
  <c r="I36" i="9"/>
  <c r="I38" i="9"/>
  <c r="I40" i="9"/>
  <c r="I42" i="9"/>
  <c r="I44" i="9"/>
  <c r="I46" i="9"/>
  <c r="I48" i="9"/>
  <c r="I51" i="9"/>
  <c r="H81" i="9"/>
  <c r="G81" i="9"/>
  <c r="J81" i="9"/>
  <c r="I81" i="9"/>
  <c r="H85" i="9"/>
  <c r="G85" i="9"/>
  <c r="J85" i="9"/>
  <c r="I85" i="9"/>
  <c r="H89" i="9"/>
  <c r="G89" i="9"/>
  <c r="J89" i="9"/>
  <c r="I89" i="9"/>
  <c r="H93" i="9"/>
  <c r="G93" i="9"/>
  <c r="J93" i="9"/>
  <c r="I93" i="9"/>
  <c r="H97" i="9"/>
  <c r="G97" i="9"/>
  <c r="J97" i="9"/>
  <c r="I97" i="9"/>
  <c r="H101" i="9"/>
  <c r="G101" i="9"/>
  <c r="J101" i="9"/>
  <c r="I101" i="9"/>
  <c r="J4" i="9"/>
  <c r="H79" i="9"/>
  <c r="G79" i="9"/>
  <c r="J79" i="9"/>
  <c r="H80" i="9"/>
  <c r="G80" i="9"/>
  <c r="J80" i="9"/>
  <c r="I80" i="9"/>
  <c r="H84" i="9"/>
  <c r="G84" i="9"/>
  <c r="J84" i="9"/>
  <c r="I84" i="9"/>
  <c r="H88" i="9"/>
  <c r="G88" i="9"/>
  <c r="J88" i="9"/>
  <c r="I88" i="9"/>
  <c r="H92" i="9"/>
  <c r="G92" i="9"/>
  <c r="J92" i="9"/>
  <c r="I92" i="9"/>
  <c r="H96" i="9"/>
  <c r="G96" i="9"/>
  <c r="J96" i="9"/>
  <c r="I96" i="9"/>
  <c r="H100" i="9"/>
  <c r="G100" i="9"/>
  <c r="J100" i="9"/>
  <c r="I100" i="9"/>
  <c r="G10" i="9"/>
  <c r="I10" i="9"/>
  <c r="G15" i="9"/>
  <c r="J15" i="9"/>
  <c r="H77" i="9"/>
  <c r="G77" i="9"/>
  <c r="J77" i="9"/>
  <c r="H83" i="9"/>
  <c r="G83" i="9"/>
  <c r="J83" i="9"/>
  <c r="I83" i="9"/>
  <c r="H91" i="9"/>
  <c r="G91" i="9"/>
  <c r="J91" i="9"/>
  <c r="I91" i="9"/>
  <c r="H4" i="9"/>
  <c r="H18" i="9"/>
  <c r="G18" i="9"/>
  <c r="J18" i="9"/>
  <c r="H20" i="9"/>
  <c r="G20" i="9"/>
  <c r="J20" i="9"/>
  <c r="H22" i="9"/>
  <c r="G22" i="9"/>
  <c r="J22" i="9"/>
  <c r="H24" i="9"/>
  <c r="G24" i="9"/>
  <c r="J24" i="9"/>
  <c r="H26" i="9"/>
  <c r="G26" i="9"/>
  <c r="J26" i="9"/>
  <c r="H28" i="9"/>
  <c r="G28" i="9"/>
  <c r="J28" i="9"/>
  <c r="H30" i="9"/>
  <c r="G30" i="9"/>
  <c r="J30" i="9"/>
  <c r="H32" i="9"/>
  <c r="G32" i="9"/>
  <c r="J32" i="9"/>
  <c r="H34" i="9"/>
  <c r="G34" i="9"/>
  <c r="J34" i="9"/>
  <c r="H37" i="9"/>
  <c r="G37" i="9"/>
  <c r="J37" i="9"/>
  <c r="H39" i="9"/>
  <c r="G39" i="9"/>
  <c r="J39" i="9"/>
  <c r="H41" i="9"/>
  <c r="G41" i="9"/>
  <c r="J41" i="9"/>
  <c r="H43" i="9"/>
  <c r="G43" i="9"/>
  <c r="J43" i="9"/>
  <c r="H45" i="9"/>
  <c r="G45" i="9"/>
  <c r="J45" i="9"/>
  <c r="H47" i="9"/>
  <c r="G47" i="9"/>
  <c r="J47" i="9"/>
  <c r="H49" i="9"/>
  <c r="G49" i="9"/>
  <c r="J49" i="9"/>
  <c r="H50" i="9"/>
  <c r="G50" i="9"/>
  <c r="J50" i="9"/>
  <c r="H52" i="9"/>
  <c r="G52" i="9"/>
  <c r="J52" i="9"/>
  <c r="H53" i="9"/>
  <c r="G53" i="9"/>
  <c r="J53" i="9"/>
  <c r="H54" i="9"/>
  <c r="G54" i="9"/>
  <c r="J54" i="9"/>
  <c r="H55" i="9"/>
  <c r="G55" i="9"/>
  <c r="J55" i="9"/>
  <c r="H56" i="9"/>
  <c r="G56" i="9"/>
  <c r="J56" i="9"/>
  <c r="H57" i="9"/>
  <c r="G57" i="9"/>
  <c r="J57" i="9"/>
  <c r="H58" i="9"/>
  <c r="G58" i="9"/>
  <c r="J58" i="9"/>
  <c r="H59" i="9"/>
  <c r="G59" i="9"/>
  <c r="J59" i="9"/>
  <c r="H60" i="9"/>
  <c r="G60" i="9"/>
  <c r="J60" i="9"/>
  <c r="H61" i="9"/>
  <c r="G61" i="9"/>
  <c r="J61" i="9"/>
  <c r="H62" i="9"/>
  <c r="G62" i="9"/>
  <c r="J62" i="9"/>
  <c r="H63" i="9"/>
  <c r="G63" i="9"/>
  <c r="J63" i="9"/>
  <c r="H64" i="9"/>
  <c r="G64" i="9"/>
  <c r="J64" i="9"/>
  <c r="H65" i="9"/>
  <c r="G65" i="9"/>
  <c r="J65" i="9"/>
  <c r="H66" i="9"/>
  <c r="G66" i="9"/>
  <c r="J66" i="9"/>
  <c r="H67" i="9"/>
  <c r="G67" i="9"/>
  <c r="J67" i="9"/>
  <c r="H68" i="9"/>
  <c r="G68" i="9"/>
  <c r="J68" i="9"/>
  <c r="H69" i="9"/>
  <c r="G69" i="9"/>
  <c r="J69" i="9"/>
  <c r="H70" i="9"/>
  <c r="G70" i="9"/>
  <c r="J70" i="9"/>
  <c r="H71" i="9"/>
  <c r="G71" i="9"/>
  <c r="J71" i="9"/>
  <c r="H72" i="9"/>
  <c r="G72" i="9"/>
  <c r="J72" i="9"/>
  <c r="H73" i="9"/>
  <c r="G73" i="9"/>
  <c r="J73" i="9"/>
  <c r="H74" i="9"/>
  <c r="G74" i="9"/>
  <c r="J74" i="9"/>
  <c r="H75" i="9"/>
  <c r="G75" i="9"/>
  <c r="J75" i="9"/>
  <c r="H76" i="9"/>
  <c r="G76" i="9"/>
  <c r="J76" i="9"/>
  <c r="I76" i="9"/>
  <c r="I77" i="9"/>
  <c r="H82" i="9"/>
  <c r="G82" i="9"/>
  <c r="J82" i="9"/>
  <c r="I82" i="9"/>
  <c r="H86" i="9"/>
  <c r="G86" i="9"/>
  <c r="J86" i="9"/>
  <c r="I86" i="9"/>
  <c r="H90" i="9"/>
  <c r="G90" i="9"/>
  <c r="J90" i="9"/>
  <c r="I90" i="9"/>
  <c r="H94" i="9"/>
  <c r="G94" i="9"/>
  <c r="J94" i="9"/>
  <c r="I94" i="9"/>
  <c r="H98" i="9"/>
  <c r="G98" i="9"/>
  <c r="J98" i="9"/>
  <c r="I98" i="9"/>
  <c r="H102" i="9"/>
  <c r="G102" i="9"/>
  <c r="J102" i="9"/>
  <c r="I102" i="9"/>
  <c r="E4" i="8"/>
  <c r="F4" i="8" s="1"/>
  <c r="E5" i="8"/>
  <c r="F5" i="8"/>
  <c r="E6" i="8"/>
  <c r="F6" i="8" s="1"/>
  <c r="E7" i="8"/>
  <c r="F7" i="8"/>
  <c r="E8" i="8"/>
  <c r="F8" i="8" s="1"/>
  <c r="E9" i="8"/>
  <c r="F9" i="8"/>
  <c r="E10" i="8"/>
  <c r="F10" i="8" s="1"/>
  <c r="E11" i="8"/>
  <c r="F11" i="8"/>
  <c r="E12" i="8"/>
  <c r="F12" i="8" s="1"/>
  <c r="E13" i="8"/>
  <c r="F13" i="8"/>
  <c r="E14" i="8"/>
  <c r="F14" i="8" s="1"/>
  <c r="E15" i="8"/>
  <c r="F15" i="8"/>
  <c r="E16" i="8"/>
  <c r="F16" i="8" s="1"/>
  <c r="E17" i="8"/>
  <c r="F17" i="8"/>
  <c r="E18" i="8"/>
  <c r="F18" i="8" s="1"/>
  <c r="E19" i="8"/>
  <c r="F19" i="8"/>
  <c r="E20" i="8"/>
  <c r="F20" i="8" s="1"/>
  <c r="E21" i="8"/>
  <c r="F21" i="8"/>
  <c r="E22" i="8"/>
  <c r="F22" i="8" s="1"/>
  <c r="J22" i="8" s="1"/>
  <c r="E23" i="8"/>
  <c r="F23" i="8"/>
  <c r="E24" i="8"/>
  <c r="F24" i="8" s="1"/>
  <c r="E25" i="8"/>
  <c r="F25" i="8"/>
  <c r="E26" i="8"/>
  <c r="F26" i="8" s="1"/>
  <c r="E27" i="8"/>
  <c r="F27" i="8"/>
  <c r="E28" i="8"/>
  <c r="F28" i="8" s="1"/>
  <c r="J28" i="8" s="1"/>
  <c r="E29" i="8"/>
  <c r="F29" i="8"/>
  <c r="E30" i="8"/>
  <c r="F30" i="8" s="1"/>
  <c r="J30" i="8" s="1"/>
  <c r="E31" i="8"/>
  <c r="F31" i="8"/>
  <c r="E32" i="8"/>
  <c r="F32" i="8" s="1"/>
  <c r="E33" i="8"/>
  <c r="F33" i="8"/>
  <c r="E34" i="8"/>
  <c r="F34" i="8" s="1"/>
  <c r="J34" i="8" s="1"/>
  <c r="E35" i="8"/>
  <c r="F35" i="8"/>
  <c r="E36" i="8"/>
  <c r="F36" i="8" s="1"/>
  <c r="E37" i="8"/>
  <c r="F37" i="8"/>
  <c r="E38" i="8"/>
  <c r="F38" i="8" s="1"/>
  <c r="J38" i="8" s="1"/>
  <c r="E39" i="8"/>
  <c r="F39" i="8"/>
  <c r="E40" i="8"/>
  <c r="F40" i="8" s="1"/>
  <c r="E41" i="8"/>
  <c r="F41" i="8"/>
  <c r="E42" i="8"/>
  <c r="F42" i="8" s="1"/>
  <c r="J42" i="8" s="1"/>
  <c r="E43" i="8"/>
  <c r="F43" i="8"/>
  <c r="E44" i="8"/>
  <c r="F44" i="8" s="1"/>
  <c r="E45" i="8"/>
  <c r="F45" i="8"/>
  <c r="E46" i="8"/>
  <c r="F46" i="8" s="1"/>
  <c r="J46" i="8" s="1"/>
  <c r="E47" i="8"/>
  <c r="F47" i="8"/>
  <c r="E48" i="8"/>
  <c r="F48" i="8" s="1"/>
  <c r="J48" i="8" s="1"/>
  <c r="E49" i="8"/>
  <c r="F49" i="8"/>
  <c r="E50" i="8"/>
  <c r="F50" i="8" s="1"/>
  <c r="E51" i="8"/>
  <c r="F51" i="8"/>
  <c r="E52" i="8"/>
  <c r="F52" i="8" s="1"/>
  <c r="J52" i="8" s="1"/>
  <c r="E53" i="8"/>
  <c r="F53" i="8"/>
  <c r="E54" i="8"/>
  <c r="F54" i="8" s="1"/>
  <c r="E55" i="8"/>
  <c r="F55" i="8"/>
  <c r="E56" i="8"/>
  <c r="F56" i="8" s="1"/>
  <c r="J56" i="8" s="1"/>
  <c r="E57" i="8"/>
  <c r="F57" i="8"/>
  <c r="E58" i="8"/>
  <c r="F58" i="8" s="1"/>
  <c r="E59" i="8"/>
  <c r="F59" i="8"/>
  <c r="E60" i="8"/>
  <c r="F60" i="8" s="1"/>
  <c r="E61" i="8"/>
  <c r="F61" i="8"/>
  <c r="I61" i="8" s="1"/>
  <c r="E62" i="8"/>
  <c r="F62" i="8" s="1"/>
  <c r="E63" i="8"/>
  <c r="F63" i="8"/>
  <c r="E64" i="8"/>
  <c r="F64" i="8" s="1"/>
  <c r="E65" i="8"/>
  <c r="F65" i="8"/>
  <c r="E66" i="8"/>
  <c r="F66" i="8" s="1"/>
  <c r="E67" i="8"/>
  <c r="F67" i="8"/>
  <c r="G67" i="8" s="1"/>
  <c r="E68" i="8"/>
  <c r="F68" i="8" s="1"/>
  <c r="J68" i="8" s="1"/>
  <c r="E69" i="8"/>
  <c r="F69" i="8"/>
  <c r="I69" i="8" s="1"/>
  <c r="E70" i="8"/>
  <c r="F70" i="8" s="1"/>
  <c r="E71" i="8"/>
  <c r="F71" i="8"/>
  <c r="E72" i="8"/>
  <c r="F72" i="8" s="1"/>
  <c r="E73" i="8"/>
  <c r="F73" i="8"/>
  <c r="E74" i="8"/>
  <c r="F74" i="8" s="1"/>
  <c r="E75" i="8"/>
  <c r="F75" i="8"/>
  <c r="I75" i="8" s="1"/>
  <c r="E76" i="8"/>
  <c r="F76" i="8" s="1"/>
  <c r="E77" i="8"/>
  <c r="F77" i="8"/>
  <c r="I77" i="8" s="1"/>
  <c r="E78" i="8"/>
  <c r="F78" i="8" s="1"/>
  <c r="E79" i="8"/>
  <c r="F79" i="8"/>
  <c r="E80" i="8"/>
  <c r="F80" i="8" s="1"/>
  <c r="E81" i="8"/>
  <c r="F81" i="8"/>
  <c r="E82" i="8"/>
  <c r="F82" i="8" s="1"/>
  <c r="E83" i="8"/>
  <c r="F83" i="8"/>
  <c r="G83" i="8" s="1"/>
  <c r="E84" i="8"/>
  <c r="F84" i="8" s="1"/>
  <c r="J84" i="8" s="1"/>
  <c r="E85" i="8"/>
  <c r="F85" i="8"/>
  <c r="I85" i="8" s="1"/>
  <c r="E86" i="8"/>
  <c r="F86" i="8" s="1"/>
  <c r="E87" i="8"/>
  <c r="F87" i="8"/>
  <c r="E88" i="8"/>
  <c r="F88" i="8" s="1"/>
  <c r="E89" i="8"/>
  <c r="F89" i="8"/>
  <c r="E90" i="8"/>
  <c r="F90" i="8" s="1"/>
  <c r="E91" i="8"/>
  <c r="F91" i="8"/>
  <c r="G91" i="8" s="1"/>
  <c r="E92" i="8"/>
  <c r="F92" i="8" s="1"/>
  <c r="E93" i="8"/>
  <c r="F93" i="8"/>
  <c r="I93" i="8" s="1"/>
  <c r="E94" i="8"/>
  <c r="F94" i="8" s="1"/>
  <c r="E95" i="8"/>
  <c r="F95" i="8"/>
  <c r="E96" i="8"/>
  <c r="F96" i="8" s="1"/>
  <c r="E97" i="8"/>
  <c r="F97" i="8"/>
  <c r="E98" i="8"/>
  <c r="F98" i="8" s="1"/>
  <c r="E99" i="8"/>
  <c r="F99" i="8"/>
  <c r="I99" i="8" s="1"/>
  <c r="E100" i="8"/>
  <c r="F100" i="8" s="1"/>
  <c r="E101" i="8"/>
  <c r="F101" i="8"/>
  <c r="E102" i="8"/>
  <c r="F102" i="8" s="1"/>
  <c r="E3" i="8"/>
  <c r="F3" i="8" s="1"/>
  <c r="I101" i="8"/>
  <c r="C102" i="8"/>
  <c r="D102" i="8" s="1"/>
  <c r="C101" i="8"/>
  <c r="D101" i="8" s="1"/>
  <c r="C100" i="8"/>
  <c r="D100" i="8" s="1"/>
  <c r="C99" i="8"/>
  <c r="D99" i="8" s="1"/>
  <c r="C98" i="8"/>
  <c r="D98" i="8" s="1"/>
  <c r="C97" i="8"/>
  <c r="D97" i="8" s="1"/>
  <c r="C96" i="8"/>
  <c r="D96" i="8" s="1"/>
  <c r="C95" i="8"/>
  <c r="D95" i="8" s="1"/>
  <c r="C94" i="8"/>
  <c r="D94" i="8" s="1"/>
  <c r="C93" i="8"/>
  <c r="D93" i="8" s="1"/>
  <c r="C92" i="8"/>
  <c r="D92" i="8" s="1"/>
  <c r="I91" i="8"/>
  <c r="C91" i="8"/>
  <c r="D91" i="8" s="1"/>
  <c r="C90" i="8"/>
  <c r="D90" i="8" s="1"/>
  <c r="C89" i="8"/>
  <c r="D89" i="8" s="1"/>
  <c r="C88" i="8"/>
  <c r="D88" i="8" s="1"/>
  <c r="C87" i="8"/>
  <c r="D87" i="8" s="1"/>
  <c r="C86" i="8"/>
  <c r="D86" i="8" s="1"/>
  <c r="C85" i="8"/>
  <c r="D85" i="8" s="1"/>
  <c r="C84" i="8"/>
  <c r="D84" i="8" s="1"/>
  <c r="C83" i="8"/>
  <c r="D83" i="8" s="1"/>
  <c r="C82" i="8"/>
  <c r="D82" i="8" s="1"/>
  <c r="C81" i="8"/>
  <c r="D81" i="8" s="1"/>
  <c r="C80" i="8"/>
  <c r="D80" i="8" s="1"/>
  <c r="C79" i="8"/>
  <c r="D79" i="8" s="1"/>
  <c r="C78" i="8"/>
  <c r="D78" i="8" s="1"/>
  <c r="C77" i="8"/>
  <c r="D77" i="8" s="1"/>
  <c r="C76" i="8"/>
  <c r="D76" i="8" s="1"/>
  <c r="G75" i="8"/>
  <c r="C75" i="8"/>
  <c r="D75" i="8" s="1"/>
  <c r="C74" i="8"/>
  <c r="D74" i="8" s="1"/>
  <c r="C73" i="8"/>
  <c r="D73" i="8" s="1"/>
  <c r="C72" i="8"/>
  <c r="D72" i="8" s="1"/>
  <c r="C71" i="8"/>
  <c r="D71" i="8" s="1"/>
  <c r="C70" i="8"/>
  <c r="D70" i="8" s="1"/>
  <c r="C69" i="8"/>
  <c r="D69" i="8" s="1"/>
  <c r="C68" i="8"/>
  <c r="D68" i="8" s="1"/>
  <c r="C67" i="8"/>
  <c r="D67" i="8" s="1"/>
  <c r="C66" i="8"/>
  <c r="D66" i="8" s="1"/>
  <c r="C65" i="8"/>
  <c r="D65" i="8" s="1"/>
  <c r="C64" i="8"/>
  <c r="D64" i="8" s="1"/>
  <c r="C63" i="8"/>
  <c r="D63" i="8" s="1"/>
  <c r="C62" i="8"/>
  <c r="D62" i="8" s="1"/>
  <c r="C61" i="8"/>
  <c r="D61" i="8" s="1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F3" i="7"/>
  <c r="E4" i="7"/>
  <c r="F4" i="7" s="1"/>
  <c r="I4" i="7" s="1"/>
  <c r="E5" i="7"/>
  <c r="F5" i="7"/>
  <c r="E6" i="7"/>
  <c r="F6" i="7" s="1"/>
  <c r="I6" i="7" s="1"/>
  <c r="E7" i="7"/>
  <c r="F7" i="7"/>
  <c r="E8" i="7"/>
  <c r="F8" i="7" s="1"/>
  <c r="I8" i="7" s="1"/>
  <c r="E9" i="7"/>
  <c r="F9" i="7"/>
  <c r="E10" i="7"/>
  <c r="F10" i="7" s="1"/>
  <c r="I10" i="7" s="1"/>
  <c r="E11" i="7"/>
  <c r="F11" i="7"/>
  <c r="E12" i="7"/>
  <c r="F12" i="7" s="1"/>
  <c r="I12" i="7" s="1"/>
  <c r="E13" i="7"/>
  <c r="F13" i="7"/>
  <c r="E14" i="7"/>
  <c r="F14" i="7" s="1"/>
  <c r="I14" i="7" s="1"/>
  <c r="E15" i="7"/>
  <c r="F15" i="7"/>
  <c r="E16" i="7"/>
  <c r="F16" i="7" s="1"/>
  <c r="I16" i="7" s="1"/>
  <c r="E17" i="7"/>
  <c r="F17" i="7"/>
  <c r="E18" i="7"/>
  <c r="F18" i="7" s="1"/>
  <c r="E19" i="7"/>
  <c r="F19" i="7"/>
  <c r="E20" i="7"/>
  <c r="F20" i="7" s="1"/>
  <c r="J20" i="7" s="1"/>
  <c r="E21" i="7"/>
  <c r="F21" i="7"/>
  <c r="E22" i="7"/>
  <c r="F22" i="7" s="1"/>
  <c r="E23" i="7"/>
  <c r="F23" i="7"/>
  <c r="G23" i="7" s="1"/>
  <c r="E24" i="7"/>
  <c r="F24" i="7" s="1"/>
  <c r="E25" i="7"/>
  <c r="F25" i="7"/>
  <c r="E26" i="7"/>
  <c r="F26" i="7" s="1"/>
  <c r="E27" i="7"/>
  <c r="F27" i="7"/>
  <c r="G27" i="7" s="1"/>
  <c r="E28" i="7"/>
  <c r="F28" i="7" s="1"/>
  <c r="E29" i="7"/>
  <c r="F29" i="7"/>
  <c r="J29" i="7" s="1"/>
  <c r="E30" i="7"/>
  <c r="F30" i="7" s="1"/>
  <c r="E31" i="7"/>
  <c r="F31" i="7"/>
  <c r="E32" i="7"/>
  <c r="F32" i="7" s="1"/>
  <c r="E33" i="7"/>
  <c r="F33" i="7"/>
  <c r="E34" i="7"/>
  <c r="F34" i="7" s="1"/>
  <c r="E35" i="7"/>
  <c r="F35" i="7"/>
  <c r="E36" i="7"/>
  <c r="F36" i="7" s="1"/>
  <c r="E37" i="7"/>
  <c r="F37" i="7"/>
  <c r="E38" i="7"/>
  <c r="F38" i="7" s="1"/>
  <c r="H38" i="7" s="1"/>
  <c r="E39" i="7"/>
  <c r="F39" i="7"/>
  <c r="E40" i="7"/>
  <c r="F40" i="7" s="1"/>
  <c r="E41" i="7"/>
  <c r="F41" i="7"/>
  <c r="E42" i="7"/>
  <c r="F42" i="7" s="1"/>
  <c r="H42" i="7" s="1"/>
  <c r="E43" i="7"/>
  <c r="F43" i="7"/>
  <c r="H43" i="7" s="1"/>
  <c r="E44" i="7"/>
  <c r="F44" i="7" s="1"/>
  <c r="E45" i="7"/>
  <c r="F45" i="7"/>
  <c r="E46" i="7"/>
  <c r="F46" i="7" s="1"/>
  <c r="J46" i="7" s="1"/>
  <c r="E47" i="7"/>
  <c r="F47" i="7"/>
  <c r="E48" i="7"/>
  <c r="F48" i="7" s="1"/>
  <c r="H48" i="7" s="1"/>
  <c r="E49" i="7"/>
  <c r="F49" i="7"/>
  <c r="E50" i="7"/>
  <c r="F50" i="7" s="1"/>
  <c r="E51" i="7"/>
  <c r="F51" i="7"/>
  <c r="E52" i="7"/>
  <c r="F52" i="7" s="1"/>
  <c r="E53" i="7"/>
  <c r="F53" i="7"/>
  <c r="E54" i="7"/>
  <c r="F54" i="7" s="1"/>
  <c r="H54" i="7" s="1"/>
  <c r="E55" i="7"/>
  <c r="F55" i="7"/>
  <c r="E56" i="7"/>
  <c r="F56" i="7" s="1"/>
  <c r="E57" i="7"/>
  <c r="F57" i="7"/>
  <c r="E58" i="7"/>
  <c r="F58" i="7" s="1"/>
  <c r="E59" i="7"/>
  <c r="F59" i="7"/>
  <c r="H59" i="7" s="1"/>
  <c r="E60" i="7"/>
  <c r="F60" i="7" s="1"/>
  <c r="E61" i="7"/>
  <c r="F61" i="7"/>
  <c r="E62" i="7"/>
  <c r="F62" i="7" s="1"/>
  <c r="J62" i="7" s="1"/>
  <c r="E63" i="7"/>
  <c r="F63" i="7"/>
  <c r="E64" i="7"/>
  <c r="F64" i="7" s="1"/>
  <c r="H64" i="7" s="1"/>
  <c r="E65" i="7"/>
  <c r="F65" i="7"/>
  <c r="E66" i="7"/>
  <c r="F66" i="7" s="1"/>
  <c r="E67" i="7"/>
  <c r="F67" i="7"/>
  <c r="E68" i="7"/>
  <c r="F68" i="7"/>
  <c r="E69" i="7"/>
  <c r="F69" i="7"/>
  <c r="E70" i="7"/>
  <c r="F70" i="7"/>
  <c r="E71" i="7"/>
  <c r="F71" i="7"/>
  <c r="E72" i="7"/>
  <c r="F72" i="7"/>
  <c r="E73" i="7"/>
  <c r="F73" i="7"/>
  <c r="E74" i="7"/>
  <c r="F74" i="7"/>
  <c r="E75" i="7"/>
  <c r="F75" i="7"/>
  <c r="H75" i="7" s="1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6" i="7"/>
  <c r="F86" i="7"/>
  <c r="H86" i="7" s="1"/>
  <c r="E87" i="7"/>
  <c r="F87" i="7"/>
  <c r="E88" i="7"/>
  <c r="F88" i="7"/>
  <c r="E89" i="7"/>
  <c r="F89" i="7"/>
  <c r="E90" i="7"/>
  <c r="F90" i="7"/>
  <c r="E91" i="7"/>
  <c r="F91" i="7"/>
  <c r="H91" i="7" s="1"/>
  <c r="E92" i="7"/>
  <c r="F92" i="7"/>
  <c r="E93" i="7"/>
  <c r="F93" i="7"/>
  <c r="E94" i="7"/>
  <c r="F94" i="7"/>
  <c r="E95" i="7"/>
  <c r="F95" i="7"/>
  <c r="E96" i="7"/>
  <c r="F96" i="7"/>
  <c r="H96" i="7" s="1"/>
  <c r="E97" i="7"/>
  <c r="F97" i="7"/>
  <c r="E98" i="7"/>
  <c r="F98" i="7"/>
  <c r="E99" i="7"/>
  <c r="F99" i="7"/>
  <c r="E100" i="7"/>
  <c r="F100" i="7"/>
  <c r="E101" i="7"/>
  <c r="F101" i="7"/>
  <c r="E102" i="7"/>
  <c r="F102" i="7"/>
  <c r="E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J94" i="7"/>
  <c r="D94" i="7"/>
  <c r="C94" i="7"/>
  <c r="D93" i="7"/>
  <c r="C93" i="7"/>
  <c r="D92" i="7"/>
  <c r="C92" i="7"/>
  <c r="D91" i="7"/>
  <c r="C91" i="7"/>
  <c r="H90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I84" i="7" s="1"/>
  <c r="C84" i="7"/>
  <c r="D83" i="7"/>
  <c r="C83" i="7"/>
  <c r="D82" i="7"/>
  <c r="C82" i="7"/>
  <c r="D81" i="7"/>
  <c r="I81" i="7" s="1"/>
  <c r="C81" i="7"/>
  <c r="H80" i="7"/>
  <c r="D80" i="7"/>
  <c r="C80" i="7"/>
  <c r="D79" i="7"/>
  <c r="C79" i="7"/>
  <c r="J78" i="7"/>
  <c r="D78" i="7"/>
  <c r="C78" i="7"/>
  <c r="D77" i="7"/>
  <c r="C77" i="7"/>
  <c r="D76" i="7"/>
  <c r="C76" i="7"/>
  <c r="D75" i="7"/>
  <c r="C75" i="7"/>
  <c r="H74" i="7"/>
  <c r="D74" i="7"/>
  <c r="C74" i="7"/>
  <c r="D73" i="7"/>
  <c r="C73" i="7"/>
  <c r="D72" i="7"/>
  <c r="C72" i="7"/>
  <c r="D71" i="7"/>
  <c r="C71" i="7"/>
  <c r="H70" i="7"/>
  <c r="D70" i="7"/>
  <c r="C70" i="7"/>
  <c r="D69" i="7"/>
  <c r="C69" i="7"/>
  <c r="D68" i="7"/>
  <c r="I68" i="7" s="1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H27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C17" i="7"/>
  <c r="D17" i="7" s="1"/>
  <c r="D16" i="7"/>
  <c r="C16" i="7"/>
  <c r="C15" i="7"/>
  <c r="D15" i="7" s="1"/>
  <c r="D14" i="7"/>
  <c r="C14" i="7"/>
  <c r="C13" i="7"/>
  <c r="D13" i="7" s="1"/>
  <c r="D12" i="7"/>
  <c r="C12" i="7"/>
  <c r="C11" i="7"/>
  <c r="D11" i="7" s="1"/>
  <c r="D10" i="7"/>
  <c r="C10" i="7"/>
  <c r="C9" i="7"/>
  <c r="D9" i="7" s="1"/>
  <c r="D8" i="7"/>
  <c r="C8" i="7"/>
  <c r="C7" i="7"/>
  <c r="D7" i="7" s="1"/>
  <c r="D6" i="7"/>
  <c r="C6" i="7"/>
  <c r="C5" i="7"/>
  <c r="D5" i="7" s="1"/>
  <c r="D4" i="7"/>
  <c r="C4" i="7"/>
  <c r="C3" i="7"/>
  <c r="D3" i="7" s="1"/>
  <c r="I67" i="8" l="1"/>
  <c r="I83" i="8"/>
  <c r="G87" i="8"/>
  <c r="G99" i="8"/>
  <c r="I65" i="8"/>
  <c r="G63" i="8"/>
  <c r="G71" i="8"/>
  <c r="I97" i="8"/>
  <c r="G3" i="8"/>
  <c r="G5" i="8"/>
  <c r="I5" i="8"/>
  <c r="J5" i="8"/>
  <c r="H5" i="8"/>
  <c r="G14" i="8"/>
  <c r="J14" i="8"/>
  <c r="I14" i="8"/>
  <c r="H14" i="8"/>
  <c r="H27" i="8"/>
  <c r="G27" i="8"/>
  <c r="I27" i="8"/>
  <c r="J27" i="8"/>
  <c r="H35" i="8"/>
  <c r="G35" i="8"/>
  <c r="I35" i="8"/>
  <c r="J35" i="8"/>
  <c r="H51" i="8"/>
  <c r="G51" i="8"/>
  <c r="I51" i="8"/>
  <c r="J51" i="8"/>
  <c r="H59" i="8"/>
  <c r="G59" i="8"/>
  <c r="I59" i="8"/>
  <c r="J59" i="8"/>
  <c r="H70" i="8"/>
  <c r="I70" i="8"/>
  <c r="G70" i="8"/>
  <c r="J70" i="8"/>
  <c r="H86" i="8"/>
  <c r="I86" i="8"/>
  <c r="G86" i="8"/>
  <c r="J86" i="8"/>
  <c r="G9" i="8"/>
  <c r="I9" i="8"/>
  <c r="J9" i="8"/>
  <c r="H9" i="8"/>
  <c r="H18" i="8"/>
  <c r="G18" i="8"/>
  <c r="J18" i="8"/>
  <c r="I18" i="8"/>
  <c r="H33" i="8"/>
  <c r="G33" i="8"/>
  <c r="I33" i="8"/>
  <c r="J33" i="8"/>
  <c r="H57" i="8"/>
  <c r="G57" i="8"/>
  <c r="I57" i="8"/>
  <c r="J57" i="8"/>
  <c r="G6" i="8"/>
  <c r="J6" i="8"/>
  <c r="H6" i="8"/>
  <c r="I6" i="8"/>
  <c r="G8" i="8"/>
  <c r="H8" i="8"/>
  <c r="J8" i="8"/>
  <c r="I8" i="8"/>
  <c r="G13" i="8"/>
  <c r="I13" i="8"/>
  <c r="J13" i="8"/>
  <c r="H13" i="8"/>
  <c r="G15" i="8"/>
  <c r="J15" i="8"/>
  <c r="I15" i="8"/>
  <c r="H15" i="8"/>
  <c r="H23" i="8"/>
  <c r="G23" i="8"/>
  <c r="I23" i="8"/>
  <c r="J23" i="8"/>
  <c r="H31" i="8"/>
  <c r="G31" i="8"/>
  <c r="I31" i="8"/>
  <c r="J31" i="8"/>
  <c r="H39" i="8"/>
  <c r="G39" i="8"/>
  <c r="I39" i="8"/>
  <c r="J39" i="8"/>
  <c r="H47" i="8"/>
  <c r="G47" i="8"/>
  <c r="I47" i="8"/>
  <c r="J47" i="8"/>
  <c r="H55" i="8"/>
  <c r="G55" i="8"/>
  <c r="I55" i="8"/>
  <c r="J55" i="8"/>
  <c r="H66" i="8"/>
  <c r="I66" i="8"/>
  <c r="G66" i="8"/>
  <c r="J66" i="8"/>
  <c r="H74" i="8"/>
  <c r="I74" i="8"/>
  <c r="G74" i="8"/>
  <c r="J74" i="8"/>
  <c r="H82" i="8"/>
  <c r="I82" i="8"/>
  <c r="G82" i="8"/>
  <c r="J82" i="8"/>
  <c r="H90" i="8"/>
  <c r="I90" i="8"/>
  <c r="G90" i="8"/>
  <c r="J90" i="8"/>
  <c r="H98" i="8"/>
  <c r="I98" i="8"/>
  <c r="G98" i="8"/>
  <c r="J98" i="8"/>
  <c r="G7" i="8"/>
  <c r="I7" i="8"/>
  <c r="J7" i="8"/>
  <c r="H7" i="8"/>
  <c r="G16" i="8"/>
  <c r="H16" i="8"/>
  <c r="J16" i="8"/>
  <c r="I16" i="8"/>
  <c r="H19" i="8"/>
  <c r="G19" i="8"/>
  <c r="I19" i="8"/>
  <c r="J19" i="8"/>
  <c r="H43" i="8"/>
  <c r="G43" i="8"/>
  <c r="I43" i="8"/>
  <c r="J43" i="8"/>
  <c r="H62" i="8"/>
  <c r="I62" i="8"/>
  <c r="G62" i="8"/>
  <c r="J62" i="8"/>
  <c r="H78" i="8"/>
  <c r="I78" i="8"/>
  <c r="G78" i="8"/>
  <c r="J78" i="8"/>
  <c r="H94" i="8"/>
  <c r="I94" i="8"/>
  <c r="G94" i="8"/>
  <c r="J94" i="8"/>
  <c r="H102" i="8"/>
  <c r="I102" i="8"/>
  <c r="G102" i="8"/>
  <c r="J102" i="8"/>
  <c r="G4" i="8"/>
  <c r="H4" i="8"/>
  <c r="J4" i="8"/>
  <c r="I4" i="8"/>
  <c r="G11" i="8"/>
  <c r="I11" i="8"/>
  <c r="H11" i="8"/>
  <c r="J11" i="8"/>
  <c r="H25" i="8"/>
  <c r="G25" i="8"/>
  <c r="I25" i="8"/>
  <c r="J25" i="8"/>
  <c r="H41" i="8"/>
  <c r="G41" i="8"/>
  <c r="I41" i="8"/>
  <c r="J41" i="8"/>
  <c r="H49" i="8"/>
  <c r="G49" i="8"/>
  <c r="I49" i="8"/>
  <c r="J49" i="8"/>
  <c r="G10" i="8"/>
  <c r="J10" i="8"/>
  <c r="H10" i="8"/>
  <c r="I10" i="8"/>
  <c r="G12" i="8"/>
  <c r="H12" i="8"/>
  <c r="J12" i="8"/>
  <c r="I12" i="8"/>
  <c r="G17" i="8"/>
  <c r="I17" i="8"/>
  <c r="H17" i="8"/>
  <c r="J17" i="8"/>
  <c r="H21" i="8"/>
  <c r="G21" i="8"/>
  <c r="I21" i="8"/>
  <c r="J21" i="8"/>
  <c r="H29" i="8"/>
  <c r="G29" i="8"/>
  <c r="I29" i="8"/>
  <c r="J29" i="8"/>
  <c r="H37" i="8"/>
  <c r="G37" i="8"/>
  <c r="I37" i="8"/>
  <c r="J37" i="8"/>
  <c r="H45" i="8"/>
  <c r="G45" i="8"/>
  <c r="I45" i="8"/>
  <c r="J45" i="8"/>
  <c r="H53" i="8"/>
  <c r="G53" i="8"/>
  <c r="I53" i="8"/>
  <c r="J53" i="8"/>
  <c r="H64" i="8"/>
  <c r="I64" i="8"/>
  <c r="G64" i="8"/>
  <c r="J64" i="8"/>
  <c r="H72" i="8"/>
  <c r="I72" i="8"/>
  <c r="G72" i="8"/>
  <c r="J72" i="8"/>
  <c r="H80" i="8"/>
  <c r="I80" i="8"/>
  <c r="G80" i="8"/>
  <c r="J80" i="8"/>
  <c r="H88" i="8"/>
  <c r="I88" i="8"/>
  <c r="G88" i="8"/>
  <c r="J88" i="8"/>
  <c r="H96" i="8"/>
  <c r="I96" i="8"/>
  <c r="G96" i="8"/>
  <c r="J96" i="8"/>
  <c r="H20" i="8"/>
  <c r="G20" i="8"/>
  <c r="H24" i="8"/>
  <c r="G24" i="8"/>
  <c r="H26" i="8"/>
  <c r="G26" i="8"/>
  <c r="H32" i="8"/>
  <c r="G32" i="8"/>
  <c r="H36" i="8"/>
  <c r="G36" i="8"/>
  <c r="H40" i="8"/>
  <c r="G40" i="8"/>
  <c r="H44" i="8"/>
  <c r="G44" i="8"/>
  <c r="H50" i="8"/>
  <c r="G50" i="8"/>
  <c r="H54" i="8"/>
  <c r="G54" i="8"/>
  <c r="H58" i="8"/>
  <c r="G58" i="8"/>
  <c r="H60" i="8"/>
  <c r="I60" i="8"/>
  <c r="G60" i="8"/>
  <c r="H73" i="8"/>
  <c r="J73" i="8"/>
  <c r="H81" i="8"/>
  <c r="J81" i="8"/>
  <c r="H89" i="8"/>
  <c r="J89" i="8"/>
  <c r="H92" i="8"/>
  <c r="I92" i="8"/>
  <c r="G92" i="8"/>
  <c r="I20" i="8"/>
  <c r="I22" i="8"/>
  <c r="I24" i="8"/>
  <c r="I26" i="8"/>
  <c r="I28" i="8"/>
  <c r="I30" i="8"/>
  <c r="I32" i="8"/>
  <c r="I38" i="8"/>
  <c r="I40" i="8"/>
  <c r="I42" i="8"/>
  <c r="I44" i="8"/>
  <c r="I46" i="8"/>
  <c r="I48" i="8"/>
  <c r="I50" i="8"/>
  <c r="I56" i="8"/>
  <c r="I58" i="8"/>
  <c r="J60" i="8"/>
  <c r="H79" i="8"/>
  <c r="J79" i="8"/>
  <c r="G81" i="8"/>
  <c r="G89" i="8"/>
  <c r="H95" i="8"/>
  <c r="J95" i="8"/>
  <c r="G97" i="8"/>
  <c r="J20" i="8"/>
  <c r="J24" i="8"/>
  <c r="J26" i="8"/>
  <c r="J32" i="8"/>
  <c r="J36" i="8"/>
  <c r="J40" i="8"/>
  <c r="J44" i="8"/>
  <c r="J50" i="8"/>
  <c r="J54" i="8"/>
  <c r="J58" i="8"/>
  <c r="H61" i="8"/>
  <c r="J61" i="8"/>
  <c r="H69" i="8"/>
  <c r="J69" i="8"/>
  <c r="I73" i="8"/>
  <c r="H77" i="8"/>
  <c r="J77" i="8"/>
  <c r="G79" i="8"/>
  <c r="I81" i="8"/>
  <c r="H85" i="8"/>
  <c r="J85" i="8"/>
  <c r="I89" i="8"/>
  <c r="H93" i="8"/>
  <c r="J93" i="8"/>
  <c r="G95" i="8"/>
  <c r="H101" i="8"/>
  <c r="J101" i="8"/>
  <c r="H22" i="8"/>
  <c r="G22" i="8"/>
  <c r="H28" i="8"/>
  <c r="G28" i="8"/>
  <c r="H30" i="8"/>
  <c r="G30" i="8"/>
  <c r="H34" i="8"/>
  <c r="G34" i="8"/>
  <c r="H38" i="8"/>
  <c r="G38" i="8"/>
  <c r="H42" i="8"/>
  <c r="G42" i="8"/>
  <c r="H46" i="8"/>
  <c r="G46" i="8"/>
  <c r="H48" i="8"/>
  <c r="G48" i="8"/>
  <c r="H52" i="8"/>
  <c r="G52" i="8"/>
  <c r="H56" i="8"/>
  <c r="G56" i="8"/>
  <c r="H65" i="8"/>
  <c r="J65" i="8"/>
  <c r="H68" i="8"/>
  <c r="I68" i="8"/>
  <c r="G68" i="8"/>
  <c r="H76" i="8"/>
  <c r="I76" i="8"/>
  <c r="G76" i="8"/>
  <c r="H84" i="8"/>
  <c r="I84" i="8"/>
  <c r="G84" i="8"/>
  <c r="H97" i="8"/>
  <c r="J97" i="8"/>
  <c r="H100" i="8"/>
  <c r="I100" i="8"/>
  <c r="G100" i="8"/>
  <c r="I34" i="8"/>
  <c r="I36" i="8"/>
  <c r="I52" i="8"/>
  <c r="I54" i="8"/>
  <c r="H63" i="8"/>
  <c r="J63" i="8"/>
  <c r="G65" i="8"/>
  <c r="H71" i="8"/>
  <c r="J71" i="8"/>
  <c r="G73" i="8"/>
  <c r="J76" i="8"/>
  <c r="H87" i="8"/>
  <c r="J87" i="8"/>
  <c r="J92" i="8"/>
  <c r="J100" i="8"/>
  <c r="G61" i="8"/>
  <c r="I63" i="8"/>
  <c r="H67" i="8"/>
  <c r="J67" i="8"/>
  <c r="G69" i="8"/>
  <c r="I71" i="8"/>
  <c r="H75" i="8"/>
  <c r="J75" i="8"/>
  <c r="G77" i="8"/>
  <c r="I79" i="8"/>
  <c r="H83" i="8"/>
  <c r="J83" i="8"/>
  <c r="G85" i="8"/>
  <c r="I87" i="8"/>
  <c r="H91" i="8"/>
  <c r="J91" i="8"/>
  <c r="G93" i="8"/>
  <c r="I95" i="8"/>
  <c r="H99" i="8"/>
  <c r="J99" i="8"/>
  <c r="G101" i="8"/>
  <c r="I22" i="7"/>
  <c r="H22" i="7"/>
  <c r="I27" i="7"/>
  <c r="I36" i="7"/>
  <c r="I35" i="7"/>
  <c r="J56" i="7"/>
  <c r="I49" i="7"/>
  <c r="I65" i="7"/>
  <c r="H100" i="7"/>
  <c r="G26" i="7"/>
  <c r="J26" i="7"/>
  <c r="H26" i="7"/>
  <c r="I26" i="7"/>
  <c r="G39" i="7"/>
  <c r="J39" i="7"/>
  <c r="I39" i="7"/>
  <c r="H39" i="7"/>
  <c r="G76" i="7"/>
  <c r="I76" i="7"/>
  <c r="H76" i="7"/>
  <c r="J76" i="7"/>
  <c r="G85" i="7"/>
  <c r="H85" i="7"/>
  <c r="I85" i="7"/>
  <c r="J85" i="7"/>
  <c r="G89" i="7"/>
  <c r="H89" i="7"/>
  <c r="J89" i="7"/>
  <c r="I89" i="7"/>
  <c r="I5" i="7"/>
  <c r="G5" i="7"/>
  <c r="J5" i="7"/>
  <c r="H5" i="7"/>
  <c r="I9" i="7"/>
  <c r="G9" i="7"/>
  <c r="J9" i="7"/>
  <c r="H9" i="7"/>
  <c r="I13" i="7"/>
  <c r="G13" i="7"/>
  <c r="J13" i="7"/>
  <c r="H13" i="7"/>
  <c r="I17" i="7"/>
  <c r="G17" i="7"/>
  <c r="H17" i="7"/>
  <c r="J17" i="7"/>
  <c r="G21" i="7"/>
  <c r="I21" i="7"/>
  <c r="H21" i="7"/>
  <c r="J21" i="7"/>
  <c r="G30" i="7"/>
  <c r="J30" i="7"/>
  <c r="I30" i="7"/>
  <c r="H30" i="7"/>
  <c r="G33" i="7"/>
  <c r="I33" i="7"/>
  <c r="H33" i="7"/>
  <c r="J33" i="7"/>
  <c r="G37" i="7"/>
  <c r="H37" i="7"/>
  <c r="I37" i="7"/>
  <c r="J37" i="7"/>
  <c r="G41" i="7"/>
  <c r="H41" i="7"/>
  <c r="J41" i="7"/>
  <c r="I41" i="7"/>
  <c r="G55" i="7"/>
  <c r="J55" i="7"/>
  <c r="I55" i="7"/>
  <c r="H55" i="7"/>
  <c r="G61" i="7"/>
  <c r="H61" i="7"/>
  <c r="J61" i="7"/>
  <c r="I61" i="7"/>
  <c r="G92" i="7"/>
  <c r="I92" i="7"/>
  <c r="H92" i="7"/>
  <c r="J92" i="7"/>
  <c r="G19" i="7"/>
  <c r="I19" i="7"/>
  <c r="H19" i="7"/>
  <c r="J19" i="7"/>
  <c r="G25" i="7"/>
  <c r="I25" i="7"/>
  <c r="J25" i="7"/>
  <c r="H25" i="7"/>
  <c r="G44" i="7"/>
  <c r="I44" i="7"/>
  <c r="H44" i="7"/>
  <c r="J44" i="7"/>
  <c r="G53" i="7"/>
  <c r="H53" i="7"/>
  <c r="I53" i="7"/>
  <c r="J53" i="7"/>
  <c r="G57" i="7"/>
  <c r="H57" i="7"/>
  <c r="J57" i="7"/>
  <c r="I57" i="7"/>
  <c r="G71" i="7"/>
  <c r="J71" i="7"/>
  <c r="I71" i="7"/>
  <c r="H71" i="7"/>
  <c r="G77" i="7"/>
  <c r="H77" i="7"/>
  <c r="J77" i="7"/>
  <c r="I77" i="7"/>
  <c r="G45" i="7"/>
  <c r="H45" i="7"/>
  <c r="J45" i="7"/>
  <c r="I45" i="7"/>
  <c r="I3" i="7"/>
  <c r="G3" i="7"/>
  <c r="H3" i="7"/>
  <c r="J3" i="7"/>
  <c r="I7" i="7"/>
  <c r="G7" i="7"/>
  <c r="J7" i="7"/>
  <c r="H7" i="7"/>
  <c r="I11" i="7"/>
  <c r="G11" i="7"/>
  <c r="H11" i="7"/>
  <c r="J11" i="7"/>
  <c r="I15" i="7"/>
  <c r="G15" i="7"/>
  <c r="H15" i="7"/>
  <c r="J15" i="7"/>
  <c r="G24" i="7"/>
  <c r="H24" i="7"/>
  <c r="J24" i="7"/>
  <c r="I24" i="7"/>
  <c r="G28" i="7"/>
  <c r="H28" i="7"/>
  <c r="I28" i="7"/>
  <c r="J28" i="7"/>
  <c r="G31" i="7"/>
  <c r="H31" i="7"/>
  <c r="I31" i="7"/>
  <c r="J31" i="7"/>
  <c r="G34" i="7"/>
  <c r="J34" i="7"/>
  <c r="I34" i="7"/>
  <c r="H34" i="7"/>
  <c r="G60" i="7"/>
  <c r="I60" i="7"/>
  <c r="H60" i="7"/>
  <c r="J60" i="7"/>
  <c r="G69" i="7"/>
  <c r="H69" i="7"/>
  <c r="I69" i="7"/>
  <c r="J69" i="7"/>
  <c r="G73" i="7"/>
  <c r="H73" i="7"/>
  <c r="J73" i="7"/>
  <c r="I73" i="7"/>
  <c r="G87" i="7"/>
  <c r="J87" i="7"/>
  <c r="I87" i="7"/>
  <c r="H87" i="7"/>
  <c r="G93" i="7"/>
  <c r="H93" i="7"/>
  <c r="J93" i="7"/>
  <c r="I93" i="7"/>
  <c r="G18" i="7"/>
  <c r="J18" i="7"/>
  <c r="G32" i="7"/>
  <c r="H32" i="7"/>
  <c r="G40" i="7"/>
  <c r="H40" i="7"/>
  <c r="G52" i="7"/>
  <c r="J52" i="7"/>
  <c r="G72" i="7"/>
  <c r="H72" i="7"/>
  <c r="G88" i="7"/>
  <c r="H88" i="7"/>
  <c r="G6" i="7"/>
  <c r="G10" i="7"/>
  <c r="G14" i="7"/>
  <c r="I20" i="7"/>
  <c r="I32" i="7"/>
  <c r="G47" i="7"/>
  <c r="J47" i="7"/>
  <c r="G51" i="7"/>
  <c r="J51" i="7"/>
  <c r="H51" i="7"/>
  <c r="G58" i="7"/>
  <c r="I58" i="7"/>
  <c r="G63" i="7"/>
  <c r="J63" i="7"/>
  <c r="G67" i="7"/>
  <c r="J67" i="7"/>
  <c r="H67" i="7"/>
  <c r="H68" i="7"/>
  <c r="I72" i="7"/>
  <c r="G79" i="7"/>
  <c r="J79" i="7"/>
  <c r="G83" i="7"/>
  <c r="J83" i="7"/>
  <c r="H83" i="7"/>
  <c r="H84" i="7"/>
  <c r="I88" i="7"/>
  <c r="G95" i="7"/>
  <c r="J95" i="7"/>
  <c r="G97" i="7"/>
  <c r="H97" i="7"/>
  <c r="G99" i="7"/>
  <c r="J99" i="7"/>
  <c r="I99" i="7"/>
  <c r="H99" i="7"/>
  <c r="H4" i="7"/>
  <c r="H6" i="7"/>
  <c r="H8" i="7"/>
  <c r="H10" i="7"/>
  <c r="H12" i="7"/>
  <c r="H14" i="7"/>
  <c r="H16" i="7"/>
  <c r="I18" i="7"/>
  <c r="I23" i="7"/>
  <c r="J27" i="7"/>
  <c r="J32" i="7"/>
  <c r="G38" i="7"/>
  <c r="I38" i="7"/>
  <c r="J38" i="7"/>
  <c r="J40" i="7"/>
  <c r="G43" i="7"/>
  <c r="J43" i="7"/>
  <c r="I43" i="7"/>
  <c r="G46" i="7"/>
  <c r="I46" i="7"/>
  <c r="H46" i="7"/>
  <c r="H47" i="7"/>
  <c r="G48" i="7"/>
  <c r="J48" i="7"/>
  <c r="I48" i="7"/>
  <c r="I51" i="7"/>
  <c r="I52" i="7"/>
  <c r="G54" i="7"/>
  <c r="I54" i="7"/>
  <c r="J54" i="7"/>
  <c r="H58" i="7"/>
  <c r="G59" i="7"/>
  <c r="J59" i="7"/>
  <c r="I59" i="7"/>
  <c r="G62" i="7"/>
  <c r="I62" i="7"/>
  <c r="H62" i="7"/>
  <c r="H63" i="7"/>
  <c r="G64" i="7"/>
  <c r="J64" i="7"/>
  <c r="I64" i="7"/>
  <c r="I67" i="7"/>
  <c r="G70" i="7"/>
  <c r="I70" i="7"/>
  <c r="J70" i="7"/>
  <c r="J72" i="7"/>
  <c r="G75" i="7"/>
  <c r="J75" i="7"/>
  <c r="I75" i="7"/>
  <c r="G78" i="7"/>
  <c r="I78" i="7"/>
  <c r="H78" i="7"/>
  <c r="H79" i="7"/>
  <c r="G80" i="7"/>
  <c r="J80" i="7"/>
  <c r="I80" i="7"/>
  <c r="I83" i="7"/>
  <c r="G86" i="7"/>
  <c r="I86" i="7"/>
  <c r="J86" i="7"/>
  <c r="J88" i="7"/>
  <c r="G91" i="7"/>
  <c r="J91" i="7"/>
  <c r="I91" i="7"/>
  <c r="G94" i="7"/>
  <c r="I94" i="7"/>
  <c r="H94" i="7"/>
  <c r="H95" i="7"/>
  <c r="G96" i="7"/>
  <c r="J96" i="7"/>
  <c r="I96" i="7"/>
  <c r="I97" i="7"/>
  <c r="G20" i="7"/>
  <c r="H20" i="7"/>
  <c r="G29" i="7"/>
  <c r="I29" i="7"/>
  <c r="G36" i="7"/>
  <c r="J36" i="7"/>
  <c r="G56" i="7"/>
  <c r="H56" i="7"/>
  <c r="G68" i="7"/>
  <c r="J68" i="7"/>
  <c r="G84" i="7"/>
  <c r="J84" i="7"/>
  <c r="G4" i="7"/>
  <c r="G8" i="7"/>
  <c r="G12" i="7"/>
  <c r="G16" i="7"/>
  <c r="H18" i="7"/>
  <c r="H23" i="7"/>
  <c r="H29" i="7"/>
  <c r="G35" i="7"/>
  <c r="J35" i="7"/>
  <c r="H35" i="7"/>
  <c r="H36" i="7"/>
  <c r="I40" i="7"/>
  <c r="G42" i="7"/>
  <c r="I42" i="7"/>
  <c r="G49" i="7"/>
  <c r="H49" i="7"/>
  <c r="H52" i="7"/>
  <c r="I56" i="7"/>
  <c r="G65" i="7"/>
  <c r="H65" i="7"/>
  <c r="G74" i="7"/>
  <c r="I74" i="7"/>
  <c r="G81" i="7"/>
  <c r="H81" i="7"/>
  <c r="G90" i="7"/>
  <c r="I90" i="7"/>
  <c r="J4" i="7"/>
  <c r="J6" i="7"/>
  <c r="J8" i="7"/>
  <c r="J10" i="7"/>
  <c r="J12" i="7"/>
  <c r="J14" i="7"/>
  <c r="J16" i="7"/>
  <c r="G22" i="7"/>
  <c r="J22" i="7"/>
  <c r="J23" i="7"/>
  <c r="J42" i="7"/>
  <c r="I47" i="7"/>
  <c r="J49" i="7"/>
  <c r="G50" i="7"/>
  <c r="I50" i="7"/>
  <c r="J50" i="7"/>
  <c r="H50" i="7"/>
  <c r="J58" i="7"/>
  <c r="I63" i="7"/>
  <c r="J65" i="7"/>
  <c r="G66" i="7"/>
  <c r="I66" i="7"/>
  <c r="J66" i="7"/>
  <c r="H66" i="7"/>
  <c r="J74" i="7"/>
  <c r="I79" i="7"/>
  <c r="J81" i="7"/>
  <c r="G82" i="7"/>
  <c r="I82" i="7"/>
  <c r="J82" i="7"/>
  <c r="H82" i="7"/>
  <c r="J90" i="7"/>
  <c r="I95" i="7"/>
  <c r="J97" i="7"/>
  <c r="G98" i="7"/>
  <c r="I98" i="7"/>
  <c r="J98" i="7"/>
  <c r="H98" i="7"/>
  <c r="G101" i="7"/>
  <c r="I101" i="7"/>
  <c r="H101" i="7"/>
  <c r="J101" i="7"/>
  <c r="G100" i="7"/>
  <c r="J100" i="7"/>
  <c r="I100" i="7"/>
  <c r="G102" i="7"/>
  <c r="J102" i="7"/>
  <c r="I102" i="7"/>
  <c r="H102" i="7"/>
  <c r="H4" i="6"/>
  <c r="I4" i="6"/>
  <c r="J4" i="6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H15" i="6"/>
  <c r="I15" i="6"/>
  <c r="J15" i="6"/>
  <c r="H16" i="6"/>
  <c r="I16" i="6"/>
  <c r="J16" i="6"/>
  <c r="H17" i="6"/>
  <c r="I17" i="6"/>
  <c r="J17" i="6"/>
  <c r="H18" i="6"/>
  <c r="I18" i="6"/>
  <c r="J18" i="6"/>
  <c r="H19" i="6"/>
  <c r="I19" i="6"/>
  <c r="J19" i="6"/>
  <c r="H20" i="6"/>
  <c r="I20" i="6"/>
  <c r="J20" i="6"/>
  <c r="H21" i="6"/>
  <c r="I21" i="6"/>
  <c r="J21" i="6"/>
  <c r="H22" i="6"/>
  <c r="I22" i="6"/>
  <c r="J22" i="6"/>
  <c r="H23" i="6"/>
  <c r="I23" i="6"/>
  <c r="J23" i="6"/>
  <c r="H24" i="6"/>
  <c r="I24" i="6"/>
  <c r="J24" i="6"/>
  <c r="H25" i="6"/>
  <c r="I25" i="6"/>
  <c r="J25" i="6"/>
  <c r="H26" i="6"/>
  <c r="I26" i="6"/>
  <c r="J26" i="6"/>
  <c r="H27" i="6"/>
  <c r="I27" i="6"/>
  <c r="J27" i="6"/>
  <c r="H28" i="6"/>
  <c r="I28" i="6"/>
  <c r="J28" i="6"/>
  <c r="H29" i="6"/>
  <c r="I29" i="6"/>
  <c r="J29" i="6"/>
  <c r="H30" i="6"/>
  <c r="I30" i="6"/>
  <c r="J30" i="6"/>
  <c r="H31" i="6"/>
  <c r="I31" i="6"/>
  <c r="J31" i="6"/>
  <c r="H32" i="6"/>
  <c r="I32" i="6"/>
  <c r="J32" i="6"/>
  <c r="H33" i="6"/>
  <c r="I33" i="6"/>
  <c r="J33" i="6"/>
  <c r="H34" i="6"/>
  <c r="I34" i="6"/>
  <c r="J34" i="6"/>
  <c r="H35" i="6"/>
  <c r="I35" i="6"/>
  <c r="J35" i="6"/>
  <c r="H36" i="6"/>
  <c r="I36" i="6"/>
  <c r="J36" i="6"/>
  <c r="H37" i="6"/>
  <c r="I37" i="6"/>
  <c r="J37" i="6"/>
  <c r="H38" i="6"/>
  <c r="I38" i="6"/>
  <c r="J38" i="6"/>
  <c r="H39" i="6"/>
  <c r="I39" i="6"/>
  <c r="J39" i="6"/>
  <c r="H40" i="6"/>
  <c r="I40" i="6"/>
  <c r="J40" i="6"/>
  <c r="H41" i="6"/>
  <c r="I41" i="6"/>
  <c r="J41" i="6"/>
  <c r="H42" i="6"/>
  <c r="I42" i="6"/>
  <c r="J42" i="6"/>
  <c r="H43" i="6"/>
  <c r="I43" i="6"/>
  <c r="J43" i="6"/>
  <c r="H44" i="6"/>
  <c r="I44" i="6"/>
  <c r="J44" i="6"/>
  <c r="H45" i="6"/>
  <c r="I45" i="6"/>
  <c r="J45" i="6"/>
  <c r="H46" i="6"/>
  <c r="I46" i="6"/>
  <c r="J46" i="6"/>
  <c r="H47" i="6"/>
  <c r="I47" i="6"/>
  <c r="J47" i="6"/>
  <c r="H48" i="6"/>
  <c r="I48" i="6"/>
  <c r="J48" i="6"/>
  <c r="H49" i="6"/>
  <c r="I49" i="6"/>
  <c r="J49" i="6"/>
  <c r="H50" i="6"/>
  <c r="I50" i="6"/>
  <c r="J50" i="6"/>
  <c r="H51" i="6"/>
  <c r="I51" i="6"/>
  <c r="J51" i="6"/>
  <c r="H52" i="6"/>
  <c r="I52" i="6"/>
  <c r="J52" i="6"/>
  <c r="H53" i="6"/>
  <c r="I53" i="6"/>
  <c r="J53" i="6"/>
  <c r="H54" i="6"/>
  <c r="I54" i="6"/>
  <c r="J54" i="6"/>
  <c r="H55" i="6"/>
  <c r="I55" i="6"/>
  <c r="J55" i="6"/>
  <c r="H56" i="6"/>
  <c r="I56" i="6"/>
  <c r="J56" i="6"/>
  <c r="H57" i="6"/>
  <c r="I57" i="6"/>
  <c r="J57" i="6"/>
  <c r="H58" i="6"/>
  <c r="I58" i="6"/>
  <c r="J58" i="6"/>
  <c r="H59" i="6"/>
  <c r="I59" i="6"/>
  <c r="J59" i="6"/>
  <c r="H60" i="6"/>
  <c r="I60" i="6"/>
  <c r="J60" i="6"/>
  <c r="H61" i="6"/>
  <c r="I61" i="6"/>
  <c r="J61" i="6"/>
  <c r="H62" i="6"/>
  <c r="I62" i="6"/>
  <c r="J62" i="6"/>
  <c r="H63" i="6"/>
  <c r="I63" i="6"/>
  <c r="J63" i="6"/>
  <c r="H64" i="6"/>
  <c r="I64" i="6"/>
  <c r="J64" i="6"/>
  <c r="H65" i="6"/>
  <c r="I65" i="6"/>
  <c r="J65" i="6"/>
  <c r="H66" i="6"/>
  <c r="I66" i="6"/>
  <c r="J66" i="6"/>
  <c r="H67" i="6"/>
  <c r="I67" i="6"/>
  <c r="J67" i="6"/>
  <c r="H68" i="6"/>
  <c r="I68" i="6"/>
  <c r="J68" i="6"/>
  <c r="H69" i="6"/>
  <c r="I69" i="6"/>
  <c r="J69" i="6"/>
  <c r="H70" i="6"/>
  <c r="I70" i="6"/>
  <c r="J70" i="6"/>
  <c r="H71" i="6"/>
  <c r="I71" i="6"/>
  <c r="J71" i="6"/>
  <c r="H72" i="6"/>
  <c r="I72" i="6"/>
  <c r="J72" i="6"/>
  <c r="H73" i="6"/>
  <c r="I73" i="6"/>
  <c r="J73" i="6"/>
  <c r="H74" i="6"/>
  <c r="I74" i="6"/>
  <c r="J74" i="6"/>
  <c r="H75" i="6"/>
  <c r="I75" i="6"/>
  <c r="J75" i="6"/>
  <c r="H76" i="6"/>
  <c r="I76" i="6"/>
  <c r="J76" i="6"/>
  <c r="H77" i="6"/>
  <c r="I77" i="6"/>
  <c r="J77" i="6"/>
  <c r="H78" i="6"/>
  <c r="I78" i="6"/>
  <c r="J78" i="6"/>
  <c r="H79" i="6"/>
  <c r="I79" i="6"/>
  <c r="J79" i="6"/>
  <c r="H80" i="6"/>
  <c r="I80" i="6"/>
  <c r="J80" i="6"/>
  <c r="H81" i="6"/>
  <c r="I81" i="6"/>
  <c r="J81" i="6"/>
  <c r="H82" i="6"/>
  <c r="I82" i="6"/>
  <c r="J82" i="6"/>
  <c r="H83" i="6"/>
  <c r="I83" i="6"/>
  <c r="J83" i="6"/>
  <c r="H84" i="6"/>
  <c r="I84" i="6"/>
  <c r="J84" i="6"/>
  <c r="H85" i="6"/>
  <c r="I85" i="6"/>
  <c r="J85" i="6"/>
  <c r="H86" i="6"/>
  <c r="I86" i="6"/>
  <c r="J86" i="6"/>
  <c r="H87" i="6"/>
  <c r="I87" i="6"/>
  <c r="J87" i="6"/>
  <c r="H88" i="6"/>
  <c r="I88" i="6"/>
  <c r="J88" i="6"/>
  <c r="H89" i="6"/>
  <c r="I89" i="6"/>
  <c r="J89" i="6"/>
  <c r="H90" i="6"/>
  <c r="I90" i="6"/>
  <c r="J90" i="6"/>
  <c r="H91" i="6"/>
  <c r="I91" i="6"/>
  <c r="J91" i="6"/>
  <c r="H92" i="6"/>
  <c r="I92" i="6"/>
  <c r="J92" i="6"/>
  <c r="H93" i="6"/>
  <c r="I93" i="6"/>
  <c r="J93" i="6"/>
  <c r="H94" i="6"/>
  <c r="I94" i="6"/>
  <c r="J94" i="6"/>
  <c r="H95" i="6"/>
  <c r="I95" i="6"/>
  <c r="J95" i="6"/>
  <c r="H96" i="6"/>
  <c r="I96" i="6"/>
  <c r="J96" i="6"/>
  <c r="H97" i="6"/>
  <c r="I97" i="6"/>
  <c r="J97" i="6"/>
  <c r="H98" i="6"/>
  <c r="I98" i="6"/>
  <c r="J98" i="6"/>
  <c r="H99" i="6"/>
  <c r="I99" i="6"/>
  <c r="J99" i="6"/>
  <c r="H100" i="6"/>
  <c r="I100" i="6"/>
  <c r="J100" i="6"/>
  <c r="H101" i="6"/>
  <c r="I101" i="6"/>
  <c r="J101" i="6"/>
  <c r="H102" i="6"/>
  <c r="I102" i="6"/>
  <c r="J102" i="6"/>
  <c r="J3" i="6"/>
  <c r="I3" i="6"/>
  <c r="H3" i="6"/>
  <c r="D4" i="6"/>
  <c r="E4" i="6"/>
  <c r="F4" i="6"/>
  <c r="G4" i="6" s="1"/>
  <c r="D5" i="6"/>
  <c r="E5" i="6"/>
  <c r="F5" i="6"/>
  <c r="G5" i="6" s="1"/>
  <c r="D6" i="6"/>
  <c r="E6" i="6"/>
  <c r="F6" i="6" s="1"/>
  <c r="G6" i="6" s="1"/>
  <c r="D7" i="6"/>
  <c r="E7" i="6"/>
  <c r="F7" i="6" s="1"/>
  <c r="G7" i="6" s="1"/>
  <c r="D8" i="6"/>
  <c r="E8" i="6"/>
  <c r="F8" i="6"/>
  <c r="G8" i="6" s="1"/>
  <c r="D9" i="6"/>
  <c r="E9" i="6"/>
  <c r="F9" i="6"/>
  <c r="G9" i="6" s="1"/>
  <c r="D10" i="6"/>
  <c r="E10" i="6"/>
  <c r="F10" i="6" s="1"/>
  <c r="G10" i="6" s="1"/>
  <c r="D11" i="6"/>
  <c r="E11" i="6"/>
  <c r="F11" i="6" s="1"/>
  <c r="G11" i="6" s="1"/>
  <c r="D12" i="6"/>
  <c r="E12" i="6"/>
  <c r="F12" i="6"/>
  <c r="G12" i="6" s="1"/>
  <c r="D13" i="6"/>
  <c r="E13" i="6"/>
  <c r="F13" i="6"/>
  <c r="G13" i="6" s="1"/>
  <c r="D14" i="6"/>
  <c r="E14" i="6"/>
  <c r="F14" i="6" s="1"/>
  <c r="G14" i="6" s="1"/>
  <c r="D15" i="6"/>
  <c r="E15" i="6"/>
  <c r="F15" i="6" s="1"/>
  <c r="G15" i="6" s="1"/>
  <c r="D16" i="6"/>
  <c r="E16" i="6"/>
  <c r="F16" i="6"/>
  <c r="G16" i="6" s="1"/>
  <c r="D17" i="6"/>
  <c r="E17" i="6"/>
  <c r="F17" i="6"/>
  <c r="G17" i="6" s="1"/>
  <c r="D18" i="6"/>
  <c r="E18" i="6"/>
  <c r="F18" i="6" s="1"/>
  <c r="G18" i="6" s="1"/>
  <c r="D19" i="6"/>
  <c r="E19" i="6"/>
  <c r="F19" i="6" s="1"/>
  <c r="G19" i="6" s="1"/>
  <c r="D20" i="6"/>
  <c r="E20" i="6"/>
  <c r="F20" i="6"/>
  <c r="G20" i="6" s="1"/>
  <c r="D21" i="6"/>
  <c r="E21" i="6"/>
  <c r="F21" i="6"/>
  <c r="G21" i="6" s="1"/>
  <c r="D22" i="6"/>
  <c r="E22" i="6"/>
  <c r="F22" i="6" s="1"/>
  <c r="G22" i="6" s="1"/>
  <c r="D23" i="6"/>
  <c r="E23" i="6"/>
  <c r="F23" i="6" s="1"/>
  <c r="G23" i="6" s="1"/>
  <c r="D24" i="6"/>
  <c r="E24" i="6"/>
  <c r="F24" i="6"/>
  <c r="G24" i="6" s="1"/>
  <c r="D25" i="6"/>
  <c r="E25" i="6"/>
  <c r="F25" i="6"/>
  <c r="G25" i="6" s="1"/>
  <c r="D26" i="6"/>
  <c r="E26" i="6"/>
  <c r="F26" i="6" s="1"/>
  <c r="G26" i="6" s="1"/>
  <c r="D27" i="6"/>
  <c r="E27" i="6"/>
  <c r="F27" i="6" s="1"/>
  <c r="G27" i="6" s="1"/>
  <c r="D28" i="6"/>
  <c r="E28" i="6"/>
  <c r="F28" i="6"/>
  <c r="G28" i="6" s="1"/>
  <c r="D29" i="6"/>
  <c r="E29" i="6"/>
  <c r="F29" i="6"/>
  <c r="G29" i="6" s="1"/>
  <c r="D30" i="6"/>
  <c r="E30" i="6"/>
  <c r="F30" i="6" s="1"/>
  <c r="G30" i="6" s="1"/>
  <c r="D31" i="6"/>
  <c r="E31" i="6"/>
  <c r="F31" i="6" s="1"/>
  <c r="G31" i="6" s="1"/>
  <c r="D32" i="6"/>
  <c r="E32" i="6"/>
  <c r="F32" i="6"/>
  <c r="G32" i="6" s="1"/>
  <c r="D33" i="6"/>
  <c r="E33" i="6"/>
  <c r="F33" i="6"/>
  <c r="G33" i="6" s="1"/>
  <c r="D34" i="6"/>
  <c r="E34" i="6" s="1"/>
  <c r="F34" i="6" s="1"/>
  <c r="G34" i="6" s="1"/>
  <c r="D35" i="6"/>
  <c r="E35" i="6"/>
  <c r="F35" i="6" s="1"/>
  <c r="D36" i="6"/>
  <c r="E36" i="6"/>
  <c r="F36" i="6"/>
  <c r="G36" i="6" s="1"/>
  <c r="D37" i="6"/>
  <c r="E37" i="6" s="1"/>
  <c r="F37" i="6" s="1"/>
  <c r="G37" i="6" s="1"/>
  <c r="D38" i="6"/>
  <c r="E38" i="6" s="1"/>
  <c r="F38" i="6" s="1"/>
  <c r="G38" i="6" s="1"/>
  <c r="D39" i="6"/>
  <c r="E39" i="6"/>
  <c r="F39" i="6" s="1"/>
  <c r="G39" i="6" s="1"/>
  <c r="D40" i="6"/>
  <c r="E40" i="6"/>
  <c r="F40" i="6"/>
  <c r="G40" i="6" s="1"/>
  <c r="D41" i="6"/>
  <c r="E41" i="6" s="1"/>
  <c r="F41" i="6" s="1"/>
  <c r="G41" i="6" s="1"/>
  <c r="D42" i="6"/>
  <c r="E42" i="6" s="1"/>
  <c r="F42" i="6" s="1"/>
  <c r="G42" i="6" s="1"/>
  <c r="D43" i="6"/>
  <c r="E43" i="6"/>
  <c r="F43" i="6" s="1"/>
  <c r="D44" i="6"/>
  <c r="E44" i="6"/>
  <c r="F44" i="6"/>
  <c r="G44" i="6" s="1"/>
  <c r="D45" i="6"/>
  <c r="E45" i="6" s="1"/>
  <c r="F45" i="6" s="1"/>
  <c r="D46" i="6"/>
  <c r="E46" i="6" s="1"/>
  <c r="F46" i="6" s="1"/>
  <c r="G46" i="6" s="1"/>
  <c r="D47" i="6"/>
  <c r="E47" i="6"/>
  <c r="F47" i="6" s="1"/>
  <c r="G47" i="6" s="1"/>
  <c r="D48" i="6"/>
  <c r="E48" i="6"/>
  <c r="F48" i="6"/>
  <c r="G48" i="6" s="1"/>
  <c r="D49" i="6"/>
  <c r="E49" i="6" s="1"/>
  <c r="F49" i="6" s="1"/>
  <c r="G49" i="6" s="1"/>
  <c r="D50" i="6"/>
  <c r="E50" i="6" s="1"/>
  <c r="F50" i="6" s="1"/>
  <c r="G50" i="6" s="1"/>
  <c r="D51" i="6"/>
  <c r="E51" i="6"/>
  <c r="F51" i="6" s="1"/>
  <c r="D52" i="6"/>
  <c r="E52" i="6"/>
  <c r="F52" i="6"/>
  <c r="G52" i="6" s="1"/>
  <c r="D53" i="6"/>
  <c r="E53" i="6" s="1"/>
  <c r="F53" i="6" s="1"/>
  <c r="D54" i="6"/>
  <c r="E54" i="6" s="1"/>
  <c r="F54" i="6" s="1"/>
  <c r="G54" i="6" s="1"/>
  <c r="D55" i="6"/>
  <c r="E55" i="6"/>
  <c r="F55" i="6" s="1"/>
  <c r="G55" i="6" s="1"/>
  <c r="D56" i="6"/>
  <c r="E56" i="6"/>
  <c r="F56" i="6"/>
  <c r="G56" i="6" s="1"/>
  <c r="D57" i="6"/>
  <c r="E57" i="6" s="1"/>
  <c r="F57" i="6" s="1"/>
  <c r="G57" i="6" s="1"/>
  <c r="D58" i="6"/>
  <c r="E58" i="6" s="1"/>
  <c r="F58" i="6" s="1"/>
  <c r="G58" i="6" s="1"/>
  <c r="D59" i="6"/>
  <c r="E59" i="6"/>
  <c r="F59" i="6" s="1"/>
  <c r="D60" i="6"/>
  <c r="E60" i="6"/>
  <c r="F60" i="6"/>
  <c r="G60" i="6" s="1"/>
  <c r="D61" i="6"/>
  <c r="E61" i="6" s="1"/>
  <c r="F61" i="6" s="1"/>
  <c r="G61" i="6" s="1"/>
  <c r="D62" i="6"/>
  <c r="E62" i="6" s="1"/>
  <c r="F62" i="6" s="1"/>
  <c r="G62" i="6" s="1"/>
  <c r="D63" i="6"/>
  <c r="E63" i="6"/>
  <c r="F63" i="6" s="1"/>
  <c r="G63" i="6" s="1"/>
  <c r="D64" i="6"/>
  <c r="E64" i="6"/>
  <c r="F64" i="6"/>
  <c r="G64" i="6" s="1"/>
  <c r="D65" i="6"/>
  <c r="E65" i="6" s="1"/>
  <c r="F65" i="6" s="1"/>
  <c r="G65" i="6" s="1"/>
  <c r="D66" i="6"/>
  <c r="E66" i="6" s="1"/>
  <c r="F66" i="6" s="1"/>
  <c r="G66" i="6" s="1"/>
  <c r="D67" i="6"/>
  <c r="E67" i="6"/>
  <c r="F67" i="6" s="1"/>
  <c r="G67" i="6" s="1"/>
  <c r="D68" i="6"/>
  <c r="E68" i="6"/>
  <c r="F68" i="6"/>
  <c r="G68" i="6" s="1"/>
  <c r="D69" i="6"/>
  <c r="E69" i="6" s="1"/>
  <c r="F69" i="6" s="1"/>
  <c r="G69" i="6" s="1"/>
  <c r="D70" i="6"/>
  <c r="E70" i="6" s="1"/>
  <c r="F70" i="6" s="1"/>
  <c r="G70" i="6" s="1"/>
  <c r="D71" i="6"/>
  <c r="E71" i="6"/>
  <c r="F71" i="6" s="1"/>
  <c r="G71" i="6" s="1"/>
  <c r="D72" i="6"/>
  <c r="E72" i="6"/>
  <c r="F72" i="6"/>
  <c r="G72" i="6" s="1"/>
  <c r="D73" i="6"/>
  <c r="E73" i="6" s="1"/>
  <c r="F73" i="6" s="1"/>
  <c r="G73" i="6" s="1"/>
  <c r="D74" i="6"/>
  <c r="E74" i="6" s="1"/>
  <c r="F74" i="6" s="1"/>
  <c r="G74" i="6" s="1"/>
  <c r="D75" i="6"/>
  <c r="E75" i="6"/>
  <c r="F75" i="6" s="1"/>
  <c r="G75" i="6" s="1"/>
  <c r="D76" i="6"/>
  <c r="E76" i="6"/>
  <c r="F76" i="6"/>
  <c r="G76" i="6" s="1"/>
  <c r="D77" i="6"/>
  <c r="E77" i="6" s="1"/>
  <c r="F77" i="6" s="1"/>
  <c r="G77" i="6" s="1"/>
  <c r="D78" i="6"/>
  <c r="E78" i="6" s="1"/>
  <c r="F78" i="6" s="1"/>
  <c r="G78" i="6" s="1"/>
  <c r="D79" i="6"/>
  <c r="E79" i="6"/>
  <c r="F79" i="6" s="1"/>
  <c r="G79" i="6" s="1"/>
  <c r="D80" i="6"/>
  <c r="E80" i="6"/>
  <c r="F80" i="6"/>
  <c r="G80" i="6" s="1"/>
  <c r="D81" i="6"/>
  <c r="E81" i="6" s="1"/>
  <c r="F81" i="6" s="1"/>
  <c r="G81" i="6" s="1"/>
  <c r="D82" i="6"/>
  <c r="E82" i="6" s="1"/>
  <c r="F82" i="6" s="1"/>
  <c r="G82" i="6" s="1"/>
  <c r="D83" i="6"/>
  <c r="E83" i="6"/>
  <c r="F83" i="6" s="1"/>
  <c r="G83" i="6" s="1"/>
  <c r="D84" i="6"/>
  <c r="E84" i="6"/>
  <c r="F84" i="6"/>
  <c r="G84" i="6" s="1"/>
  <c r="D85" i="6"/>
  <c r="E85" i="6" s="1"/>
  <c r="F85" i="6" s="1"/>
  <c r="G85" i="6" s="1"/>
  <c r="D86" i="6"/>
  <c r="E86" i="6" s="1"/>
  <c r="F86" i="6" s="1"/>
  <c r="G86" i="6" s="1"/>
  <c r="D87" i="6"/>
  <c r="E87" i="6"/>
  <c r="F87" i="6" s="1"/>
  <c r="G87" i="6" s="1"/>
  <c r="D88" i="6"/>
  <c r="E88" i="6"/>
  <c r="F88" i="6"/>
  <c r="G88" i="6" s="1"/>
  <c r="D89" i="6"/>
  <c r="E89" i="6" s="1"/>
  <c r="F89" i="6" s="1"/>
  <c r="G89" i="6" s="1"/>
  <c r="D90" i="6"/>
  <c r="E90" i="6" s="1"/>
  <c r="F90" i="6" s="1"/>
  <c r="G90" i="6" s="1"/>
  <c r="D91" i="6"/>
  <c r="E91" i="6" s="1"/>
  <c r="F91" i="6" s="1"/>
  <c r="G91" i="6" s="1"/>
  <c r="D92" i="6"/>
  <c r="E92" i="6" s="1"/>
  <c r="F92" i="6" s="1"/>
  <c r="G92" i="6" s="1"/>
  <c r="D93" i="6"/>
  <c r="E93" i="6" s="1"/>
  <c r="F93" i="6" s="1"/>
  <c r="G93" i="6" s="1"/>
  <c r="D94" i="6"/>
  <c r="E94" i="6" s="1"/>
  <c r="F94" i="6" s="1"/>
  <c r="G94" i="6" s="1"/>
  <c r="D95" i="6"/>
  <c r="E95" i="6" s="1"/>
  <c r="F95" i="6" s="1"/>
  <c r="G95" i="6" s="1"/>
  <c r="D96" i="6"/>
  <c r="E96" i="6" s="1"/>
  <c r="F96" i="6" s="1"/>
  <c r="G96" i="6" s="1"/>
  <c r="D97" i="6"/>
  <c r="E97" i="6" s="1"/>
  <c r="F97" i="6" s="1"/>
  <c r="G97" i="6" s="1"/>
  <c r="D98" i="6"/>
  <c r="E98" i="6" s="1"/>
  <c r="F98" i="6" s="1"/>
  <c r="G98" i="6" s="1"/>
  <c r="D99" i="6"/>
  <c r="E99" i="6" s="1"/>
  <c r="F99" i="6" s="1"/>
  <c r="G99" i="6" s="1"/>
  <c r="D100" i="6"/>
  <c r="E100" i="6" s="1"/>
  <c r="F100" i="6" s="1"/>
  <c r="G100" i="6" s="1"/>
  <c r="D101" i="6"/>
  <c r="E101" i="6" s="1"/>
  <c r="F101" i="6" s="1"/>
  <c r="G101" i="6" s="1"/>
  <c r="D102" i="6"/>
  <c r="E102" i="6" s="1"/>
  <c r="F102" i="6" s="1"/>
  <c r="G102" i="6" s="1"/>
  <c r="G3" i="6"/>
  <c r="D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E3" i="6"/>
  <c r="F3" i="6" s="1"/>
  <c r="C3" i="6"/>
  <c r="E3" i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3" i="1"/>
  <c r="D3" i="1" s="1"/>
  <c r="I3" i="8" l="1"/>
  <c r="H3" i="8"/>
  <c r="J3" i="8"/>
  <c r="G51" i="6"/>
  <c r="G35" i="6"/>
  <c r="G53" i="6"/>
  <c r="G59" i="6"/>
  <c r="G45" i="6"/>
  <c r="G43" i="6"/>
  <c r="D3" i="5"/>
  <c r="E3" i="5" s="1"/>
  <c r="F3" i="5" s="1"/>
  <c r="D4" i="5"/>
  <c r="E4" i="5" s="1"/>
  <c r="F4" i="5" s="1"/>
  <c r="D5" i="5"/>
  <c r="E5" i="5"/>
  <c r="F5" i="5" s="1"/>
  <c r="D6" i="5"/>
  <c r="E6" i="5"/>
  <c r="F6" i="5"/>
  <c r="G6" i="5"/>
  <c r="J6" i="5"/>
  <c r="D7" i="5"/>
  <c r="E7" i="5" s="1"/>
  <c r="F7" i="5" s="1"/>
  <c r="G7" i="5"/>
  <c r="H7" i="5"/>
  <c r="D8" i="5"/>
  <c r="E8" i="5" s="1"/>
  <c r="F8" i="5" s="1"/>
  <c r="I8" i="5"/>
  <c r="D9" i="5"/>
  <c r="E9" i="5"/>
  <c r="F9" i="5"/>
  <c r="I9" i="5"/>
  <c r="J9" i="5"/>
  <c r="D10" i="5"/>
  <c r="E10" i="5"/>
  <c r="F10" i="5"/>
  <c r="G10" i="5"/>
  <c r="D11" i="5"/>
  <c r="E11" i="5" s="1"/>
  <c r="F11" i="5" s="1"/>
  <c r="G11" i="5"/>
  <c r="H11" i="5"/>
  <c r="D12" i="5"/>
  <c r="E12" i="5"/>
  <c r="F12" i="5" s="1"/>
  <c r="H12" i="5"/>
  <c r="I12" i="5"/>
  <c r="D13" i="5"/>
  <c r="E13" i="5"/>
  <c r="F13" i="5"/>
  <c r="I13" i="5"/>
  <c r="D14" i="5"/>
  <c r="E14" i="5"/>
  <c r="F14" i="5"/>
  <c r="D15" i="5"/>
  <c r="E15" i="5" s="1"/>
  <c r="F15" i="5" s="1"/>
  <c r="G15" i="5"/>
  <c r="D16" i="5"/>
  <c r="E16" i="5"/>
  <c r="F16" i="5" s="1"/>
  <c r="H16" i="5"/>
  <c r="D17" i="5"/>
  <c r="E17" i="5"/>
  <c r="F17" i="5" s="1"/>
  <c r="D18" i="5"/>
  <c r="E18" i="5"/>
  <c r="F18" i="5"/>
  <c r="G18" i="5"/>
  <c r="J18" i="5"/>
  <c r="D19" i="5"/>
  <c r="E19" i="5" s="1"/>
  <c r="F19" i="5" s="1"/>
  <c r="D20" i="5"/>
  <c r="E20" i="5" s="1"/>
  <c r="F20" i="5" s="1"/>
  <c r="D21" i="5"/>
  <c r="E21" i="5"/>
  <c r="F21" i="5" s="1"/>
  <c r="D22" i="5"/>
  <c r="E22" i="5"/>
  <c r="F22" i="5"/>
  <c r="G22" i="5"/>
  <c r="J22" i="5"/>
  <c r="D23" i="5"/>
  <c r="E23" i="5" s="1"/>
  <c r="F23" i="5" s="1"/>
  <c r="G23" i="5"/>
  <c r="H23" i="5"/>
  <c r="D24" i="5"/>
  <c r="E24" i="5" s="1"/>
  <c r="F24" i="5" s="1"/>
  <c r="I24" i="5"/>
  <c r="D25" i="5"/>
  <c r="E25" i="5"/>
  <c r="F25" i="5"/>
  <c r="I25" i="5"/>
  <c r="J25" i="5"/>
  <c r="D26" i="5"/>
  <c r="E26" i="5"/>
  <c r="F26" i="5"/>
  <c r="G26" i="5"/>
  <c r="D27" i="5"/>
  <c r="E27" i="5" s="1"/>
  <c r="F27" i="5" s="1"/>
  <c r="G27" i="5"/>
  <c r="H27" i="5"/>
  <c r="D28" i="5"/>
  <c r="E28" i="5"/>
  <c r="F28" i="5" s="1"/>
  <c r="H28" i="5"/>
  <c r="I28" i="5"/>
  <c r="D29" i="5"/>
  <c r="E29" i="5"/>
  <c r="F29" i="5"/>
  <c r="I29" i="5"/>
  <c r="D30" i="5"/>
  <c r="E30" i="5"/>
  <c r="F30" i="5"/>
  <c r="D31" i="5"/>
  <c r="E31" i="5" s="1"/>
  <c r="F31" i="5" s="1"/>
  <c r="G31" i="5"/>
  <c r="D32" i="5"/>
  <c r="E32" i="5"/>
  <c r="F32" i="5" s="1"/>
  <c r="H32" i="5"/>
  <c r="D33" i="5"/>
  <c r="E33" i="5"/>
  <c r="F33" i="5" s="1"/>
  <c r="D34" i="5"/>
  <c r="E34" i="5"/>
  <c r="F34" i="5"/>
  <c r="G34" i="5"/>
  <c r="J34" i="5"/>
  <c r="D35" i="5"/>
  <c r="E35" i="5" s="1"/>
  <c r="F35" i="5" s="1"/>
  <c r="D36" i="5"/>
  <c r="E36" i="5" s="1"/>
  <c r="F36" i="5" s="1"/>
  <c r="D37" i="5"/>
  <c r="E37" i="5"/>
  <c r="F37" i="5" s="1"/>
  <c r="D38" i="5"/>
  <c r="E38" i="5"/>
  <c r="F38" i="5"/>
  <c r="G38" i="5"/>
  <c r="J38" i="5"/>
  <c r="D39" i="5"/>
  <c r="E39" i="5" s="1"/>
  <c r="F39" i="5" s="1"/>
  <c r="G39" i="5"/>
  <c r="H39" i="5"/>
  <c r="D40" i="5"/>
  <c r="E40" i="5" s="1"/>
  <c r="F40" i="5" s="1"/>
  <c r="I40" i="5"/>
  <c r="D41" i="5"/>
  <c r="E41" i="5"/>
  <c r="F41" i="5"/>
  <c r="I41" i="5"/>
  <c r="J41" i="5"/>
  <c r="D42" i="5"/>
  <c r="E42" i="5"/>
  <c r="F42" i="5"/>
  <c r="G42" i="5"/>
  <c r="D43" i="5"/>
  <c r="E43" i="5" s="1"/>
  <c r="F43" i="5"/>
  <c r="J43" i="5"/>
  <c r="D44" i="5"/>
  <c r="E44" i="5" s="1"/>
  <c r="F44" i="5" s="1"/>
  <c r="D45" i="5"/>
  <c r="E45" i="5"/>
  <c r="F45" i="5"/>
  <c r="H45" i="5" s="1"/>
  <c r="D46" i="5"/>
  <c r="E46" i="5"/>
  <c r="F46" i="5" s="1"/>
  <c r="J46" i="5" s="1"/>
  <c r="D47" i="5"/>
  <c r="E47" i="5" s="1"/>
  <c r="F47" i="5"/>
  <c r="I47" i="5" s="1"/>
  <c r="G47" i="5"/>
  <c r="H47" i="5"/>
  <c r="D48" i="5"/>
  <c r="E48" i="5"/>
  <c r="F48" i="5" s="1"/>
  <c r="D49" i="5"/>
  <c r="E49" i="5"/>
  <c r="F49" i="5" s="1"/>
  <c r="I49" i="5"/>
  <c r="D50" i="5"/>
  <c r="E50" i="5"/>
  <c r="F50" i="5"/>
  <c r="D51" i="5"/>
  <c r="E51" i="5" s="1"/>
  <c r="F51" i="5"/>
  <c r="J51" i="5"/>
  <c r="D52" i="5"/>
  <c r="E52" i="5" s="1"/>
  <c r="F52" i="5" s="1"/>
  <c r="H52" i="5" s="1"/>
  <c r="I52" i="5"/>
  <c r="D53" i="5"/>
  <c r="E53" i="5"/>
  <c r="F53" i="5"/>
  <c r="H53" i="5"/>
  <c r="D54" i="5"/>
  <c r="E54" i="5"/>
  <c r="F54" i="5" s="1"/>
  <c r="I54" i="5" s="1"/>
  <c r="J54" i="5"/>
  <c r="D55" i="5"/>
  <c r="E55" i="5" s="1"/>
  <c r="F55" i="5"/>
  <c r="I55" i="5" s="1"/>
  <c r="G55" i="5"/>
  <c r="H55" i="5"/>
  <c r="D56" i="5"/>
  <c r="E56" i="5"/>
  <c r="F56" i="5" s="1"/>
  <c r="G56" i="5" s="1"/>
  <c r="D57" i="5"/>
  <c r="E57" i="5"/>
  <c r="F57" i="5" s="1"/>
  <c r="D58" i="5"/>
  <c r="E58" i="5"/>
  <c r="F58" i="5"/>
  <c r="G58" i="5" s="1"/>
  <c r="D59" i="5"/>
  <c r="E59" i="5" s="1"/>
  <c r="F59" i="5"/>
  <c r="J59" i="5" s="1"/>
  <c r="D60" i="5"/>
  <c r="E60" i="5"/>
  <c r="F60" i="5"/>
  <c r="G60" i="5" s="1"/>
  <c r="J60" i="5"/>
  <c r="D61" i="5"/>
  <c r="E61" i="5" s="1"/>
  <c r="F61" i="5" s="1"/>
  <c r="H61" i="5" s="1"/>
  <c r="D62" i="5"/>
  <c r="E62" i="5"/>
  <c r="F62" i="5" s="1"/>
  <c r="D63" i="5"/>
  <c r="E63" i="5"/>
  <c r="F63" i="5" s="1"/>
  <c r="D64" i="5"/>
  <c r="E64" i="5"/>
  <c r="F64" i="5"/>
  <c r="G64" i="5"/>
  <c r="J64" i="5"/>
  <c r="D65" i="5"/>
  <c r="E65" i="5" s="1"/>
  <c r="F65" i="5" s="1"/>
  <c r="G65" i="5" s="1"/>
  <c r="H65" i="5"/>
  <c r="D66" i="5"/>
  <c r="E66" i="5" s="1"/>
  <c r="F66" i="5" s="1"/>
  <c r="D67" i="5"/>
  <c r="E67" i="5"/>
  <c r="F67" i="5" s="1"/>
  <c r="D68" i="5"/>
  <c r="E68" i="5"/>
  <c r="F68" i="5"/>
  <c r="G68" i="5"/>
  <c r="D69" i="5"/>
  <c r="E69" i="5" s="1"/>
  <c r="F69" i="5" s="1"/>
  <c r="G69" i="5"/>
  <c r="H69" i="5"/>
  <c r="D70" i="5"/>
  <c r="E70" i="5" s="1"/>
  <c r="F70" i="5" s="1"/>
  <c r="D71" i="5"/>
  <c r="E71" i="5"/>
  <c r="F71" i="5"/>
  <c r="I71" i="5"/>
  <c r="D72" i="5"/>
  <c r="E72" i="5"/>
  <c r="F72" i="5"/>
  <c r="D73" i="5"/>
  <c r="E73" i="5" s="1"/>
  <c r="F73" i="5" s="1"/>
  <c r="G73" i="5"/>
  <c r="D74" i="5"/>
  <c r="E74" i="5"/>
  <c r="F74" i="5" s="1"/>
  <c r="H74" i="5"/>
  <c r="D75" i="5"/>
  <c r="E75" i="5"/>
  <c r="F75" i="5"/>
  <c r="D76" i="5"/>
  <c r="E76" i="5"/>
  <c r="F76" i="5"/>
  <c r="G76" i="5" s="1"/>
  <c r="J76" i="5"/>
  <c r="D77" i="5"/>
  <c r="E77" i="5" s="1"/>
  <c r="F77" i="5" s="1"/>
  <c r="H77" i="5" s="1"/>
  <c r="D78" i="5"/>
  <c r="E78" i="5"/>
  <c r="F78" i="5" s="1"/>
  <c r="D79" i="5"/>
  <c r="E79" i="5"/>
  <c r="F79" i="5" s="1"/>
  <c r="D80" i="5"/>
  <c r="E80" i="5"/>
  <c r="F80" i="5"/>
  <c r="G80" i="5"/>
  <c r="J80" i="5"/>
  <c r="D81" i="5"/>
  <c r="E81" i="5" s="1"/>
  <c r="F81" i="5" s="1"/>
  <c r="G81" i="5" s="1"/>
  <c r="H81" i="5"/>
  <c r="D82" i="5"/>
  <c r="E82" i="5" s="1"/>
  <c r="F82" i="5" s="1"/>
  <c r="D83" i="5"/>
  <c r="E83" i="5"/>
  <c r="F83" i="5" s="1"/>
  <c r="D84" i="5"/>
  <c r="E84" i="5"/>
  <c r="F84" i="5"/>
  <c r="G84" i="5"/>
  <c r="D85" i="5"/>
  <c r="E85" i="5" s="1"/>
  <c r="F85" i="5" s="1"/>
  <c r="G85" i="5"/>
  <c r="H85" i="5"/>
  <c r="D86" i="5"/>
  <c r="E86" i="5" s="1"/>
  <c r="F86" i="5" s="1"/>
  <c r="D87" i="5"/>
  <c r="E87" i="5"/>
  <c r="F87" i="5"/>
  <c r="I87" i="5"/>
  <c r="D88" i="5"/>
  <c r="E88" i="5"/>
  <c r="F88" i="5"/>
  <c r="J88" i="5" s="1"/>
  <c r="D89" i="5"/>
  <c r="E89" i="5" s="1"/>
  <c r="F89" i="5" s="1"/>
  <c r="G89" i="5"/>
  <c r="D90" i="5"/>
  <c r="E90" i="5"/>
  <c r="F90" i="5" s="1"/>
  <c r="H90" i="5"/>
  <c r="D91" i="5"/>
  <c r="E91" i="5"/>
  <c r="F91" i="5"/>
  <c r="D92" i="5"/>
  <c r="E92" i="5"/>
  <c r="F92" i="5"/>
  <c r="G92" i="5" s="1"/>
  <c r="J92" i="5"/>
  <c r="D93" i="5"/>
  <c r="E93" i="5" s="1"/>
  <c r="F93" i="5" s="1"/>
  <c r="H93" i="5" s="1"/>
  <c r="D94" i="5"/>
  <c r="E94" i="5"/>
  <c r="F94" i="5" s="1"/>
  <c r="D95" i="5"/>
  <c r="E95" i="5"/>
  <c r="F95" i="5" s="1"/>
  <c r="D96" i="5"/>
  <c r="E96" i="5"/>
  <c r="F96" i="5"/>
  <c r="G96" i="5"/>
  <c r="J96" i="5"/>
  <c r="D97" i="5"/>
  <c r="E97" i="5" s="1"/>
  <c r="F97" i="5" s="1"/>
  <c r="G97" i="5" s="1"/>
  <c r="H97" i="5"/>
  <c r="D98" i="5"/>
  <c r="E98" i="5" s="1"/>
  <c r="F98" i="5" s="1"/>
  <c r="D99" i="5"/>
  <c r="E99" i="5"/>
  <c r="F99" i="5" s="1"/>
  <c r="D100" i="5"/>
  <c r="E100" i="5"/>
  <c r="F100" i="5"/>
  <c r="H100" i="5" s="1"/>
  <c r="G100" i="5"/>
  <c r="D101" i="5"/>
  <c r="E101" i="5" s="1"/>
  <c r="F101" i="5"/>
  <c r="I101" i="5" s="1"/>
  <c r="D2" i="5"/>
  <c r="E2" i="5" s="1"/>
  <c r="F2" i="5" s="1"/>
  <c r="D3" i="4"/>
  <c r="D4" i="4"/>
  <c r="D5" i="4"/>
  <c r="D6" i="4"/>
  <c r="E6" i="4" s="1"/>
  <c r="F6" i="4" s="1"/>
  <c r="D7" i="4"/>
  <c r="D8" i="4"/>
  <c r="D9" i="4"/>
  <c r="D10" i="4"/>
  <c r="E10" i="4" s="1"/>
  <c r="F10" i="4" s="1"/>
  <c r="D11" i="4"/>
  <c r="D12" i="4"/>
  <c r="D13" i="4"/>
  <c r="E13" i="4" s="1"/>
  <c r="F13" i="4" s="1"/>
  <c r="D14" i="4"/>
  <c r="D15" i="4"/>
  <c r="D16" i="4"/>
  <c r="D17" i="4"/>
  <c r="D18" i="4"/>
  <c r="E18" i="4" s="1"/>
  <c r="F18" i="4" s="1"/>
  <c r="D19" i="4"/>
  <c r="D20" i="4"/>
  <c r="D21" i="4"/>
  <c r="D22" i="4"/>
  <c r="E22" i="4" s="1"/>
  <c r="F22" i="4" s="1"/>
  <c r="D23" i="4"/>
  <c r="D24" i="4"/>
  <c r="D25" i="4"/>
  <c r="E25" i="4" s="1"/>
  <c r="F25" i="4" s="1"/>
  <c r="D26" i="4"/>
  <c r="D27" i="4"/>
  <c r="D28" i="4"/>
  <c r="D29" i="4"/>
  <c r="D30" i="4"/>
  <c r="E30" i="4" s="1"/>
  <c r="F30" i="4" s="1"/>
  <c r="D31" i="4"/>
  <c r="D32" i="4"/>
  <c r="D33" i="4"/>
  <c r="E33" i="4" s="1"/>
  <c r="F33" i="4" s="1"/>
  <c r="D34" i="4"/>
  <c r="D35" i="4"/>
  <c r="D36" i="4"/>
  <c r="D37" i="4"/>
  <c r="D38" i="4"/>
  <c r="E38" i="4" s="1"/>
  <c r="F38" i="4" s="1"/>
  <c r="D39" i="4"/>
  <c r="D40" i="4"/>
  <c r="D41" i="4"/>
  <c r="E41" i="4" s="1"/>
  <c r="F41" i="4" s="1"/>
  <c r="D42" i="4"/>
  <c r="D43" i="4"/>
  <c r="D44" i="4"/>
  <c r="D45" i="4"/>
  <c r="D46" i="4"/>
  <c r="E46" i="4" s="1"/>
  <c r="F46" i="4" s="1"/>
  <c r="D47" i="4"/>
  <c r="D48" i="4"/>
  <c r="D49" i="4"/>
  <c r="D50" i="4"/>
  <c r="E50" i="4" s="1"/>
  <c r="F50" i="4" s="1"/>
  <c r="D51" i="4"/>
  <c r="D52" i="4"/>
  <c r="D53" i="4"/>
  <c r="D54" i="4"/>
  <c r="E54" i="4" s="1"/>
  <c r="F54" i="4" s="1"/>
  <c r="D55" i="4"/>
  <c r="D56" i="4"/>
  <c r="D57" i="4"/>
  <c r="D58" i="4"/>
  <c r="E58" i="4" s="1"/>
  <c r="F58" i="4" s="1"/>
  <c r="D59" i="4"/>
  <c r="D60" i="4"/>
  <c r="D61" i="4"/>
  <c r="D62" i="4"/>
  <c r="E62" i="4" s="1"/>
  <c r="F62" i="4" s="1"/>
  <c r="D63" i="4"/>
  <c r="D64" i="4"/>
  <c r="D65" i="4"/>
  <c r="D66" i="4"/>
  <c r="E66" i="4" s="1"/>
  <c r="F66" i="4" s="1"/>
  <c r="D67" i="4"/>
  <c r="D68" i="4"/>
  <c r="D69" i="4"/>
  <c r="D70" i="4"/>
  <c r="E70" i="4" s="1"/>
  <c r="F70" i="4" s="1"/>
  <c r="D71" i="4"/>
  <c r="D72" i="4"/>
  <c r="D73" i="4"/>
  <c r="D74" i="4"/>
  <c r="E74" i="4" s="1"/>
  <c r="F74" i="4" s="1"/>
  <c r="D75" i="4"/>
  <c r="D76" i="4"/>
  <c r="D77" i="4"/>
  <c r="D78" i="4"/>
  <c r="E78" i="4" s="1"/>
  <c r="F78" i="4" s="1"/>
  <c r="D79" i="4"/>
  <c r="D80" i="4"/>
  <c r="D81" i="4"/>
  <c r="D82" i="4"/>
  <c r="E82" i="4" s="1"/>
  <c r="F82" i="4" s="1"/>
  <c r="D83" i="4"/>
  <c r="D84" i="4"/>
  <c r="D85" i="4"/>
  <c r="D86" i="4"/>
  <c r="E86" i="4" s="1"/>
  <c r="F86" i="4" s="1"/>
  <c r="D87" i="4"/>
  <c r="D88" i="4"/>
  <c r="D89" i="4"/>
  <c r="D90" i="4"/>
  <c r="E90" i="4" s="1"/>
  <c r="F90" i="4" s="1"/>
  <c r="D91" i="4"/>
  <c r="D92" i="4"/>
  <c r="D93" i="4"/>
  <c r="D94" i="4"/>
  <c r="E94" i="4" s="1"/>
  <c r="F94" i="4" s="1"/>
  <c r="D95" i="4"/>
  <c r="D96" i="4"/>
  <c r="D97" i="4"/>
  <c r="D98" i="4"/>
  <c r="E98" i="4" s="1"/>
  <c r="F98" i="4" s="1"/>
  <c r="D99" i="4"/>
  <c r="D100" i="4"/>
  <c r="D101" i="4"/>
  <c r="G3" i="4"/>
  <c r="J4" i="4"/>
  <c r="G7" i="4"/>
  <c r="G9" i="4"/>
  <c r="J16" i="4"/>
  <c r="G19" i="4"/>
  <c r="J24" i="4"/>
  <c r="G27" i="4"/>
  <c r="G29" i="4"/>
  <c r="J32" i="4"/>
  <c r="G35" i="4"/>
  <c r="G37" i="4"/>
  <c r="J40" i="4"/>
  <c r="G43" i="4"/>
  <c r="G45" i="4"/>
  <c r="G47" i="4"/>
  <c r="G49" i="4"/>
  <c r="G51" i="4"/>
  <c r="G53" i="4"/>
  <c r="G55" i="4"/>
  <c r="G57" i="4"/>
  <c r="G59" i="4"/>
  <c r="G61" i="4"/>
  <c r="G63" i="4"/>
  <c r="G65" i="4"/>
  <c r="G67" i="4"/>
  <c r="G69" i="4"/>
  <c r="G71" i="4"/>
  <c r="G73" i="4"/>
  <c r="G75" i="4"/>
  <c r="G77" i="4"/>
  <c r="G79" i="4"/>
  <c r="G81" i="4"/>
  <c r="G83" i="4"/>
  <c r="G85" i="4"/>
  <c r="G87" i="4"/>
  <c r="I89" i="4"/>
  <c r="H91" i="4"/>
  <c r="I91" i="4"/>
  <c r="I93" i="4"/>
  <c r="H95" i="4"/>
  <c r="I95" i="4"/>
  <c r="I97" i="4"/>
  <c r="H99" i="4"/>
  <c r="I99" i="4"/>
  <c r="I101" i="4"/>
  <c r="H2" i="4"/>
  <c r="I2" i="4"/>
  <c r="J2" i="4"/>
  <c r="G2" i="4"/>
  <c r="D2" i="4"/>
  <c r="E101" i="4"/>
  <c r="F101" i="4" s="1"/>
  <c r="J101" i="4" s="1"/>
  <c r="E100" i="4"/>
  <c r="F100" i="4" s="1"/>
  <c r="J100" i="4" s="1"/>
  <c r="E99" i="4"/>
  <c r="F99" i="4" s="1"/>
  <c r="J99" i="4" s="1"/>
  <c r="E97" i="4"/>
  <c r="F97" i="4" s="1"/>
  <c r="J97" i="4" s="1"/>
  <c r="E96" i="4"/>
  <c r="F96" i="4" s="1"/>
  <c r="J96" i="4" s="1"/>
  <c r="E95" i="4"/>
  <c r="F95" i="4" s="1"/>
  <c r="J95" i="4" s="1"/>
  <c r="E93" i="4"/>
  <c r="F93" i="4" s="1"/>
  <c r="J93" i="4" s="1"/>
  <c r="E92" i="4"/>
  <c r="F92" i="4" s="1"/>
  <c r="J92" i="4" s="1"/>
  <c r="E91" i="4"/>
  <c r="F91" i="4" s="1"/>
  <c r="J91" i="4" s="1"/>
  <c r="E89" i="4"/>
  <c r="F89" i="4" s="1"/>
  <c r="J89" i="4" s="1"/>
  <c r="E88" i="4"/>
  <c r="F88" i="4" s="1"/>
  <c r="J88" i="4" s="1"/>
  <c r="E87" i="4"/>
  <c r="F87" i="4" s="1"/>
  <c r="E85" i="4"/>
  <c r="F85" i="4" s="1"/>
  <c r="E84" i="4"/>
  <c r="F84" i="4" s="1"/>
  <c r="G84" i="4" s="1"/>
  <c r="E83" i="4"/>
  <c r="F83" i="4" s="1"/>
  <c r="E81" i="4"/>
  <c r="F81" i="4" s="1"/>
  <c r="E80" i="4"/>
  <c r="F80" i="4" s="1"/>
  <c r="E79" i="4"/>
  <c r="F79" i="4" s="1"/>
  <c r="E77" i="4"/>
  <c r="F77" i="4" s="1"/>
  <c r="E76" i="4"/>
  <c r="F76" i="4" s="1"/>
  <c r="G76" i="4" s="1"/>
  <c r="E75" i="4"/>
  <c r="F75" i="4" s="1"/>
  <c r="E73" i="4"/>
  <c r="F73" i="4" s="1"/>
  <c r="E72" i="4"/>
  <c r="F72" i="4" s="1"/>
  <c r="E71" i="4"/>
  <c r="F71" i="4" s="1"/>
  <c r="E69" i="4"/>
  <c r="F69" i="4" s="1"/>
  <c r="E68" i="4"/>
  <c r="F68" i="4" s="1"/>
  <c r="G68" i="4" s="1"/>
  <c r="E67" i="4"/>
  <c r="F67" i="4" s="1"/>
  <c r="E65" i="4"/>
  <c r="F65" i="4" s="1"/>
  <c r="E64" i="4"/>
  <c r="F64" i="4" s="1"/>
  <c r="E63" i="4"/>
  <c r="F63" i="4" s="1"/>
  <c r="E61" i="4"/>
  <c r="F61" i="4" s="1"/>
  <c r="E60" i="4"/>
  <c r="F60" i="4" s="1"/>
  <c r="G60" i="4" s="1"/>
  <c r="E59" i="4"/>
  <c r="F59" i="4" s="1"/>
  <c r="E57" i="4"/>
  <c r="F57" i="4" s="1"/>
  <c r="E56" i="4"/>
  <c r="F56" i="4" s="1"/>
  <c r="E55" i="4"/>
  <c r="F55" i="4" s="1"/>
  <c r="E53" i="4"/>
  <c r="F53" i="4" s="1"/>
  <c r="E52" i="4"/>
  <c r="F52" i="4" s="1"/>
  <c r="E51" i="4"/>
  <c r="F51" i="4" s="1"/>
  <c r="E49" i="4"/>
  <c r="F49" i="4" s="1"/>
  <c r="E48" i="4"/>
  <c r="F48" i="4" s="1"/>
  <c r="G48" i="4" s="1"/>
  <c r="E47" i="4"/>
  <c r="F47" i="4" s="1"/>
  <c r="E45" i="4"/>
  <c r="F45" i="4" s="1"/>
  <c r="E44" i="4"/>
  <c r="F44" i="4" s="1"/>
  <c r="F43" i="4"/>
  <c r="E43" i="4"/>
  <c r="E42" i="4"/>
  <c r="F42" i="4" s="1"/>
  <c r="E40" i="4"/>
  <c r="F40" i="4" s="1"/>
  <c r="E39" i="4"/>
  <c r="F39" i="4" s="1"/>
  <c r="E37" i="4"/>
  <c r="F37" i="4" s="1"/>
  <c r="E36" i="4"/>
  <c r="F36" i="4" s="1"/>
  <c r="F35" i="4"/>
  <c r="E35" i="4"/>
  <c r="E34" i="4"/>
  <c r="F34" i="4" s="1"/>
  <c r="E32" i="4"/>
  <c r="F32" i="4" s="1"/>
  <c r="E31" i="4"/>
  <c r="F31" i="4" s="1"/>
  <c r="E29" i="4"/>
  <c r="F29" i="4" s="1"/>
  <c r="E28" i="4"/>
  <c r="F28" i="4" s="1"/>
  <c r="F27" i="4"/>
  <c r="E27" i="4"/>
  <c r="E26" i="4"/>
  <c r="F26" i="4" s="1"/>
  <c r="E24" i="4"/>
  <c r="F24" i="4" s="1"/>
  <c r="E23" i="4"/>
  <c r="F23" i="4" s="1"/>
  <c r="E21" i="4"/>
  <c r="F21" i="4" s="1"/>
  <c r="E20" i="4"/>
  <c r="F20" i="4" s="1"/>
  <c r="G20" i="4" s="1"/>
  <c r="E19" i="4"/>
  <c r="F19" i="4" s="1"/>
  <c r="E17" i="4"/>
  <c r="F17" i="4" s="1"/>
  <c r="E16" i="4"/>
  <c r="F16" i="4" s="1"/>
  <c r="G16" i="4" s="1"/>
  <c r="E15" i="4"/>
  <c r="F15" i="4" s="1"/>
  <c r="E14" i="4"/>
  <c r="F14" i="4" s="1"/>
  <c r="G14" i="4" s="1"/>
  <c r="E12" i="4"/>
  <c r="F12" i="4" s="1"/>
  <c r="G12" i="4" s="1"/>
  <c r="E11" i="4"/>
  <c r="F11" i="4" s="1"/>
  <c r="E9" i="4"/>
  <c r="F9" i="4" s="1"/>
  <c r="E8" i="4"/>
  <c r="F8" i="4" s="1"/>
  <c r="G8" i="4" s="1"/>
  <c r="E7" i="4"/>
  <c r="F7" i="4" s="1"/>
  <c r="E5" i="4"/>
  <c r="F5" i="4" s="1"/>
  <c r="E4" i="4"/>
  <c r="F4" i="4" s="1"/>
  <c r="G4" i="4" s="1"/>
  <c r="E3" i="4"/>
  <c r="F3" i="4" s="1"/>
  <c r="F2" i="4"/>
  <c r="E2" i="4"/>
  <c r="I9" i="1"/>
  <c r="J9" i="1"/>
  <c r="J17" i="1"/>
  <c r="J22" i="1"/>
  <c r="J23" i="1"/>
  <c r="J28" i="1"/>
  <c r="I29" i="1"/>
  <c r="J49" i="1"/>
  <c r="J57" i="1"/>
  <c r="I67" i="1"/>
  <c r="I73" i="1"/>
  <c r="J73" i="1"/>
  <c r="I83" i="1"/>
  <c r="G89" i="1"/>
  <c r="H89" i="1"/>
  <c r="G92" i="1"/>
  <c r="H92" i="1"/>
  <c r="G96" i="1"/>
  <c r="E4" i="1"/>
  <c r="F4" i="1" s="1"/>
  <c r="I4" i="1" s="1"/>
  <c r="E5" i="1"/>
  <c r="F5" i="1" s="1"/>
  <c r="I5" i="1" s="1"/>
  <c r="E6" i="1"/>
  <c r="F6" i="1" s="1"/>
  <c r="J6" i="1" s="1"/>
  <c r="E7" i="1"/>
  <c r="F7" i="1"/>
  <c r="J7" i="1" s="1"/>
  <c r="E8" i="1"/>
  <c r="F8" i="1" s="1"/>
  <c r="E9" i="1"/>
  <c r="F9" i="1" s="1"/>
  <c r="E10" i="1"/>
  <c r="F10" i="1" s="1"/>
  <c r="I10" i="1" s="1"/>
  <c r="E11" i="1"/>
  <c r="F11" i="1" s="1"/>
  <c r="J11" i="1" s="1"/>
  <c r="E12" i="1"/>
  <c r="F12" i="1" s="1"/>
  <c r="J12" i="1" s="1"/>
  <c r="E13" i="1"/>
  <c r="F13" i="1" s="1"/>
  <c r="I13" i="1" s="1"/>
  <c r="E14" i="1"/>
  <c r="F14" i="1" s="1"/>
  <c r="I14" i="1" s="1"/>
  <c r="E15" i="1"/>
  <c r="F15" i="1" s="1"/>
  <c r="E16" i="1"/>
  <c r="F16" i="1" s="1"/>
  <c r="I16" i="1" s="1"/>
  <c r="E17" i="1"/>
  <c r="F17" i="1" s="1"/>
  <c r="E18" i="1"/>
  <c r="F18" i="1" s="1"/>
  <c r="E19" i="1"/>
  <c r="F19" i="1"/>
  <c r="J19" i="1" s="1"/>
  <c r="E20" i="1"/>
  <c r="F20" i="1" s="1"/>
  <c r="I20" i="1" s="1"/>
  <c r="E21" i="1"/>
  <c r="F21" i="1" s="1"/>
  <c r="I21" i="1" s="1"/>
  <c r="E22" i="1"/>
  <c r="F22" i="1" s="1"/>
  <c r="E23" i="1"/>
  <c r="F23" i="1"/>
  <c r="E24" i="1"/>
  <c r="F24" i="1" s="1"/>
  <c r="E25" i="1"/>
  <c r="F25" i="1" s="1"/>
  <c r="J25" i="1" s="1"/>
  <c r="E26" i="1"/>
  <c r="F26" i="1" s="1"/>
  <c r="E27" i="1"/>
  <c r="F27" i="1"/>
  <c r="I27" i="1" s="1"/>
  <c r="E28" i="1"/>
  <c r="F28" i="1" s="1"/>
  <c r="E29" i="1"/>
  <c r="F29" i="1" s="1"/>
  <c r="J29" i="1" s="1"/>
  <c r="E30" i="1"/>
  <c r="F30" i="1" s="1"/>
  <c r="E31" i="1"/>
  <c r="F31" i="1" s="1"/>
  <c r="E32" i="1"/>
  <c r="F32" i="1" s="1"/>
  <c r="I32" i="1" s="1"/>
  <c r="E33" i="1"/>
  <c r="F33" i="1" s="1"/>
  <c r="I33" i="1" s="1"/>
  <c r="E34" i="1"/>
  <c r="F34" i="1" s="1"/>
  <c r="E35" i="1"/>
  <c r="F35" i="1" s="1"/>
  <c r="E36" i="1"/>
  <c r="F36" i="1" s="1"/>
  <c r="E37" i="1"/>
  <c r="F37" i="1" s="1"/>
  <c r="I37" i="1" s="1"/>
  <c r="E38" i="1"/>
  <c r="F38" i="1" s="1"/>
  <c r="J38" i="1" s="1"/>
  <c r="E39" i="1"/>
  <c r="F39" i="1"/>
  <c r="I39" i="1" s="1"/>
  <c r="E40" i="1"/>
  <c r="F40" i="1" s="1"/>
  <c r="E41" i="1"/>
  <c r="F41" i="1" s="1"/>
  <c r="I41" i="1" s="1"/>
  <c r="E42" i="1"/>
  <c r="F42" i="1" s="1"/>
  <c r="I42" i="1" s="1"/>
  <c r="E43" i="1"/>
  <c r="F43" i="1"/>
  <c r="I43" i="1" s="1"/>
  <c r="E44" i="1"/>
  <c r="F44" i="1" s="1"/>
  <c r="E45" i="1"/>
  <c r="F45" i="1" s="1"/>
  <c r="J45" i="1" s="1"/>
  <c r="E46" i="1"/>
  <c r="F46" i="1" s="1"/>
  <c r="E47" i="1"/>
  <c r="F47" i="1" s="1"/>
  <c r="E48" i="1"/>
  <c r="F48" i="1" s="1"/>
  <c r="I48" i="1" s="1"/>
  <c r="E49" i="1"/>
  <c r="F49" i="1" s="1"/>
  <c r="I49" i="1" s="1"/>
  <c r="E50" i="1"/>
  <c r="F50" i="1" s="1"/>
  <c r="E51" i="1"/>
  <c r="F51" i="1"/>
  <c r="I51" i="1" s="1"/>
  <c r="E52" i="1"/>
  <c r="F52" i="1" s="1"/>
  <c r="E53" i="1"/>
  <c r="F53" i="1" s="1"/>
  <c r="I53" i="1" s="1"/>
  <c r="E54" i="1"/>
  <c r="F54" i="1" s="1"/>
  <c r="E55" i="1"/>
  <c r="F55" i="1" s="1"/>
  <c r="E56" i="1"/>
  <c r="F56" i="1" s="1"/>
  <c r="E57" i="1"/>
  <c r="F57" i="1" s="1"/>
  <c r="I57" i="1" s="1"/>
  <c r="E58" i="1"/>
  <c r="F58" i="1" s="1"/>
  <c r="I58" i="1" s="1"/>
  <c r="E59" i="1"/>
  <c r="F59" i="1"/>
  <c r="I59" i="1" s="1"/>
  <c r="E60" i="1"/>
  <c r="F60" i="1" s="1"/>
  <c r="E61" i="1"/>
  <c r="F61" i="1" s="1"/>
  <c r="J61" i="1" s="1"/>
  <c r="E62" i="1"/>
  <c r="F62" i="1" s="1"/>
  <c r="E63" i="1"/>
  <c r="F63" i="1" s="1"/>
  <c r="E64" i="1"/>
  <c r="F64" i="1" s="1"/>
  <c r="E65" i="1"/>
  <c r="F65" i="1" s="1"/>
  <c r="I65" i="1" s="1"/>
  <c r="E66" i="1"/>
  <c r="F66" i="1" s="1"/>
  <c r="E67" i="1"/>
  <c r="F67" i="1"/>
  <c r="J67" i="1" s="1"/>
  <c r="E68" i="1"/>
  <c r="F68" i="1" s="1"/>
  <c r="E69" i="1"/>
  <c r="F69" i="1" s="1"/>
  <c r="I69" i="1" s="1"/>
  <c r="E70" i="1"/>
  <c r="F70" i="1" s="1"/>
  <c r="E71" i="1"/>
  <c r="F71" i="1"/>
  <c r="I71" i="1" s="1"/>
  <c r="E72" i="1"/>
  <c r="F72" i="1" s="1"/>
  <c r="E73" i="1"/>
  <c r="F73" i="1" s="1"/>
  <c r="E74" i="1"/>
  <c r="F74" i="1" s="1"/>
  <c r="E75" i="1"/>
  <c r="F75" i="1" s="1"/>
  <c r="I75" i="1" s="1"/>
  <c r="E76" i="1"/>
  <c r="F76" i="1" s="1"/>
  <c r="E77" i="1"/>
  <c r="F77" i="1" s="1"/>
  <c r="J77" i="1" s="1"/>
  <c r="E78" i="1"/>
  <c r="F78" i="1" s="1"/>
  <c r="I78" i="1" s="1"/>
  <c r="E79" i="1"/>
  <c r="F79" i="1" s="1"/>
  <c r="E80" i="1"/>
  <c r="F80" i="1" s="1"/>
  <c r="E81" i="1"/>
  <c r="F81" i="1" s="1"/>
  <c r="J81" i="1" s="1"/>
  <c r="E82" i="1"/>
  <c r="F82" i="1" s="1"/>
  <c r="E83" i="1"/>
  <c r="F83" i="1"/>
  <c r="J83" i="1" s="1"/>
  <c r="E84" i="1"/>
  <c r="F84" i="1" s="1"/>
  <c r="I84" i="1" s="1"/>
  <c r="E85" i="1"/>
  <c r="F85" i="1" s="1"/>
  <c r="I85" i="1" s="1"/>
  <c r="E86" i="1"/>
  <c r="F86" i="1" s="1"/>
  <c r="E87" i="1"/>
  <c r="F87" i="1"/>
  <c r="J87" i="1" s="1"/>
  <c r="E88" i="1"/>
  <c r="F88" i="1" s="1"/>
  <c r="E89" i="1"/>
  <c r="F89" i="1" s="1"/>
  <c r="J89" i="1" s="1"/>
  <c r="E90" i="1"/>
  <c r="F90" i="1" s="1"/>
  <c r="J90" i="1" s="1"/>
  <c r="E91" i="1"/>
  <c r="F91" i="1"/>
  <c r="J91" i="1" s="1"/>
  <c r="E92" i="1"/>
  <c r="F92" i="1" s="1"/>
  <c r="J92" i="1" s="1"/>
  <c r="E93" i="1"/>
  <c r="F93" i="1" s="1"/>
  <c r="J93" i="1" s="1"/>
  <c r="E94" i="1"/>
  <c r="F94" i="1" s="1"/>
  <c r="J94" i="1" s="1"/>
  <c r="E95" i="1"/>
  <c r="F95" i="1" s="1"/>
  <c r="E96" i="1"/>
  <c r="F96" i="1" s="1"/>
  <c r="J96" i="1" s="1"/>
  <c r="E97" i="1"/>
  <c r="F97" i="1" s="1"/>
  <c r="J97" i="1" s="1"/>
  <c r="E98" i="1"/>
  <c r="F98" i="1" s="1"/>
  <c r="J98" i="1" s="1"/>
  <c r="E99" i="1"/>
  <c r="F99" i="1" s="1"/>
  <c r="E100" i="1"/>
  <c r="F100" i="1" s="1"/>
  <c r="J100" i="1" s="1"/>
  <c r="E101" i="1"/>
  <c r="F101" i="1" s="1"/>
  <c r="J101" i="1" s="1"/>
  <c r="E102" i="1"/>
  <c r="F102" i="1" s="1"/>
  <c r="J102" i="1" s="1"/>
  <c r="F3" i="1"/>
  <c r="J99" i="1" l="1"/>
  <c r="H99" i="1"/>
  <c r="G99" i="1"/>
  <c r="I55" i="1"/>
  <c r="J55" i="1"/>
  <c r="J35" i="1"/>
  <c r="I35" i="1"/>
  <c r="J41" i="1"/>
  <c r="J65" i="1"/>
  <c r="H100" i="1"/>
  <c r="H96" i="1"/>
  <c r="G93" i="1"/>
  <c r="G90" i="1"/>
  <c r="I77" i="1"/>
  <c r="I61" i="1"/>
  <c r="J51" i="1"/>
  <c r="I45" i="1"/>
  <c r="I25" i="1"/>
  <c r="I19" i="1"/>
  <c r="H102" i="1"/>
  <c r="H94" i="1"/>
  <c r="J13" i="1"/>
  <c r="G102" i="1"/>
  <c r="H97" i="1"/>
  <c r="H93" i="1"/>
  <c r="H90" i="1"/>
  <c r="J71" i="1"/>
  <c r="J39" i="1"/>
  <c r="J33" i="1"/>
  <c r="J95" i="1"/>
  <c r="G95" i="1"/>
  <c r="I95" i="1"/>
  <c r="H95" i="1"/>
  <c r="H31" i="1"/>
  <c r="G31" i="1"/>
  <c r="I31" i="1"/>
  <c r="J31" i="1"/>
  <c r="H79" i="1"/>
  <c r="G79" i="1"/>
  <c r="I79" i="1"/>
  <c r="J79" i="1"/>
  <c r="H15" i="1"/>
  <c r="G15" i="1"/>
  <c r="I15" i="1"/>
  <c r="J15" i="1"/>
  <c r="H47" i="1"/>
  <c r="G47" i="1"/>
  <c r="I47" i="1"/>
  <c r="J47" i="1"/>
  <c r="H63" i="1"/>
  <c r="G63" i="1"/>
  <c r="I63" i="1"/>
  <c r="J63" i="1"/>
  <c r="H88" i="1"/>
  <c r="G88" i="1"/>
  <c r="H82" i="1"/>
  <c r="G82" i="1"/>
  <c r="H72" i="1"/>
  <c r="G72" i="1"/>
  <c r="H66" i="1"/>
  <c r="G66" i="1"/>
  <c r="H56" i="1"/>
  <c r="G56" i="1"/>
  <c r="H50" i="1"/>
  <c r="G50" i="1"/>
  <c r="H40" i="1"/>
  <c r="G40" i="1"/>
  <c r="H34" i="1"/>
  <c r="G34" i="1"/>
  <c r="H24" i="1"/>
  <c r="G24" i="1"/>
  <c r="H18" i="1"/>
  <c r="G18" i="1"/>
  <c r="H8" i="1"/>
  <c r="G8" i="1"/>
  <c r="H101" i="1"/>
  <c r="H91" i="1"/>
  <c r="J69" i="1"/>
  <c r="J59" i="1"/>
  <c r="J53" i="1"/>
  <c r="J43" i="1"/>
  <c r="J37" i="1"/>
  <c r="J27" i="1"/>
  <c r="J21" i="1"/>
  <c r="J5" i="1"/>
  <c r="H87" i="1"/>
  <c r="G87" i="1"/>
  <c r="H81" i="1"/>
  <c r="G81" i="1"/>
  <c r="H68" i="1"/>
  <c r="G68" i="1"/>
  <c r="H62" i="1"/>
  <c r="G62" i="1"/>
  <c r="H52" i="1"/>
  <c r="G52" i="1"/>
  <c r="H46" i="1"/>
  <c r="G46" i="1"/>
  <c r="H36" i="1"/>
  <c r="G36" i="1"/>
  <c r="H30" i="1"/>
  <c r="G30" i="1"/>
  <c r="H23" i="1"/>
  <c r="G23" i="1"/>
  <c r="H17" i="1"/>
  <c r="G17" i="1"/>
  <c r="H7" i="1"/>
  <c r="G7" i="1"/>
  <c r="G100" i="1"/>
  <c r="G98" i="1"/>
  <c r="G94" i="1"/>
  <c r="G91" i="1"/>
  <c r="I81" i="1"/>
  <c r="I23" i="1"/>
  <c r="I17" i="1"/>
  <c r="H80" i="1"/>
  <c r="G80" i="1"/>
  <c r="H74" i="1"/>
  <c r="G74" i="1"/>
  <c r="H64" i="1"/>
  <c r="G64" i="1"/>
  <c r="H61" i="1"/>
  <c r="G61" i="1"/>
  <c r="H51" i="1"/>
  <c r="G51" i="1"/>
  <c r="H45" i="1"/>
  <c r="G45" i="1"/>
  <c r="H35" i="1"/>
  <c r="G35" i="1"/>
  <c r="H26" i="1"/>
  <c r="G26" i="1"/>
  <c r="H86" i="1"/>
  <c r="G86" i="1"/>
  <c r="H76" i="1"/>
  <c r="G76" i="1"/>
  <c r="H73" i="1"/>
  <c r="G73" i="1"/>
  <c r="H70" i="1"/>
  <c r="G70" i="1"/>
  <c r="H60" i="1"/>
  <c r="G60" i="1"/>
  <c r="H57" i="1"/>
  <c r="G57" i="1"/>
  <c r="H54" i="1"/>
  <c r="G54" i="1"/>
  <c r="H44" i="1"/>
  <c r="G44" i="1"/>
  <c r="H41" i="1"/>
  <c r="G41" i="1"/>
  <c r="H38" i="1"/>
  <c r="G38" i="1"/>
  <c r="H28" i="1"/>
  <c r="G28" i="1"/>
  <c r="H25" i="1"/>
  <c r="G25" i="1"/>
  <c r="H22" i="1"/>
  <c r="G22" i="1"/>
  <c r="H12" i="1"/>
  <c r="G12" i="1"/>
  <c r="H9" i="1"/>
  <c r="G9" i="1"/>
  <c r="H6" i="1"/>
  <c r="G6" i="1"/>
  <c r="I102" i="1"/>
  <c r="I101" i="1"/>
  <c r="I100" i="1"/>
  <c r="I99" i="1"/>
  <c r="I98" i="1"/>
  <c r="I97" i="1"/>
  <c r="I96" i="1"/>
  <c r="I94" i="1"/>
  <c r="I93" i="1"/>
  <c r="I92" i="1"/>
  <c r="I91" i="1"/>
  <c r="I90" i="1"/>
  <c r="I89" i="1"/>
  <c r="I88" i="1"/>
  <c r="I86" i="1"/>
  <c r="I82" i="1"/>
  <c r="I80" i="1"/>
  <c r="I76" i="1"/>
  <c r="I74" i="1"/>
  <c r="I72" i="1"/>
  <c r="I70" i="1"/>
  <c r="I68" i="1"/>
  <c r="I66" i="1"/>
  <c r="I64" i="1"/>
  <c r="I62" i="1"/>
  <c r="I60" i="1"/>
  <c r="I56" i="1"/>
  <c r="I54" i="1"/>
  <c r="I52" i="1"/>
  <c r="I50" i="1"/>
  <c r="I46" i="1"/>
  <c r="I44" i="1"/>
  <c r="I40" i="1"/>
  <c r="I38" i="1"/>
  <c r="I36" i="1"/>
  <c r="I34" i="1"/>
  <c r="I30" i="1"/>
  <c r="I28" i="1"/>
  <c r="I26" i="1"/>
  <c r="I24" i="1"/>
  <c r="I22" i="1"/>
  <c r="I18" i="1"/>
  <c r="I12" i="1"/>
  <c r="I8" i="1"/>
  <c r="I6" i="1"/>
  <c r="H85" i="1"/>
  <c r="G85" i="1"/>
  <c r="H75" i="1"/>
  <c r="G75" i="1"/>
  <c r="H69" i="1"/>
  <c r="G69" i="1"/>
  <c r="H59" i="1"/>
  <c r="G59" i="1"/>
  <c r="H53" i="1"/>
  <c r="G53" i="1"/>
  <c r="H43" i="1"/>
  <c r="G43" i="1"/>
  <c r="H37" i="1"/>
  <c r="G37" i="1"/>
  <c r="H27" i="1"/>
  <c r="G27" i="1"/>
  <c r="H21" i="1"/>
  <c r="G21" i="1"/>
  <c r="H11" i="1"/>
  <c r="G11" i="1"/>
  <c r="H5" i="1"/>
  <c r="G5" i="1"/>
  <c r="H98" i="1"/>
  <c r="J85" i="1"/>
  <c r="J75" i="1"/>
  <c r="H84" i="1"/>
  <c r="G84" i="1"/>
  <c r="H78" i="1"/>
  <c r="G78" i="1"/>
  <c r="H71" i="1"/>
  <c r="G71" i="1"/>
  <c r="H65" i="1"/>
  <c r="G65" i="1"/>
  <c r="H55" i="1"/>
  <c r="G55" i="1"/>
  <c r="H49" i="1"/>
  <c r="G49" i="1"/>
  <c r="H39" i="1"/>
  <c r="G39" i="1"/>
  <c r="H33" i="1"/>
  <c r="G33" i="1"/>
  <c r="H20" i="1"/>
  <c r="G20" i="1"/>
  <c r="H14" i="1"/>
  <c r="G14" i="1"/>
  <c r="H4" i="1"/>
  <c r="G4" i="1"/>
  <c r="G101" i="1"/>
  <c r="G97" i="1"/>
  <c r="I87" i="1"/>
  <c r="I11" i="1"/>
  <c r="I7" i="1"/>
  <c r="H83" i="1"/>
  <c r="G83" i="1"/>
  <c r="H77" i="1"/>
  <c r="G77" i="1"/>
  <c r="H67" i="1"/>
  <c r="G67" i="1"/>
  <c r="H58" i="1"/>
  <c r="G58" i="1"/>
  <c r="H48" i="1"/>
  <c r="G48" i="1"/>
  <c r="H42" i="1"/>
  <c r="G42" i="1"/>
  <c r="H32" i="1"/>
  <c r="G32" i="1"/>
  <c r="H29" i="1"/>
  <c r="G29" i="1"/>
  <c r="H19" i="1"/>
  <c r="G19" i="1"/>
  <c r="H16" i="1"/>
  <c r="G16" i="1"/>
  <c r="H13" i="1"/>
  <c r="G13" i="1"/>
  <c r="H10" i="1"/>
  <c r="G10" i="1"/>
  <c r="J88" i="1"/>
  <c r="J86" i="1"/>
  <c r="J84" i="1"/>
  <c r="J82" i="1"/>
  <c r="J80" i="1"/>
  <c r="J78" i="1"/>
  <c r="J76" i="1"/>
  <c r="J74" i="1"/>
  <c r="J72" i="1"/>
  <c r="J70" i="1"/>
  <c r="J68" i="1"/>
  <c r="J66" i="1"/>
  <c r="J64" i="1"/>
  <c r="J62" i="1"/>
  <c r="J60" i="1"/>
  <c r="J58" i="1"/>
  <c r="J56" i="1"/>
  <c r="J54" i="1"/>
  <c r="J52" i="1"/>
  <c r="J50" i="1"/>
  <c r="J48" i="1"/>
  <c r="J46" i="1"/>
  <c r="J44" i="1"/>
  <c r="J42" i="1"/>
  <c r="J40" i="1"/>
  <c r="J36" i="1"/>
  <c r="J34" i="1"/>
  <c r="J32" i="1"/>
  <c r="J30" i="1"/>
  <c r="J26" i="1"/>
  <c r="J24" i="1"/>
  <c r="J20" i="1"/>
  <c r="J18" i="1"/>
  <c r="J16" i="1"/>
  <c r="J14" i="1"/>
  <c r="J10" i="1"/>
  <c r="J8" i="1"/>
  <c r="J4" i="1"/>
  <c r="I3" i="1"/>
  <c r="H3" i="1"/>
  <c r="G3" i="1"/>
  <c r="J3" i="1"/>
  <c r="J98" i="5"/>
  <c r="G98" i="5"/>
  <c r="H98" i="5"/>
  <c r="I98" i="5"/>
  <c r="G95" i="5"/>
  <c r="H95" i="5"/>
  <c r="I95" i="5"/>
  <c r="J95" i="5"/>
  <c r="J86" i="5"/>
  <c r="G86" i="5"/>
  <c r="I86" i="5"/>
  <c r="H86" i="5"/>
  <c r="G83" i="5"/>
  <c r="H83" i="5"/>
  <c r="I83" i="5"/>
  <c r="J83" i="5"/>
  <c r="J66" i="5"/>
  <c r="G66" i="5"/>
  <c r="H66" i="5"/>
  <c r="I66" i="5"/>
  <c r="G63" i="5"/>
  <c r="H63" i="5"/>
  <c r="J63" i="5"/>
  <c r="I63" i="5"/>
  <c r="J36" i="5"/>
  <c r="G36" i="5"/>
  <c r="H36" i="5"/>
  <c r="I36" i="5"/>
  <c r="G17" i="5"/>
  <c r="H17" i="5"/>
  <c r="I17" i="5"/>
  <c r="J17" i="5"/>
  <c r="J20" i="5"/>
  <c r="G20" i="5"/>
  <c r="H20" i="5"/>
  <c r="I20" i="5"/>
  <c r="G33" i="5"/>
  <c r="H33" i="5"/>
  <c r="I33" i="5"/>
  <c r="J33" i="5"/>
  <c r="G99" i="5"/>
  <c r="H99" i="5"/>
  <c r="I99" i="5"/>
  <c r="J99" i="5"/>
  <c r="J82" i="5"/>
  <c r="G82" i="5"/>
  <c r="I82" i="5"/>
  <c r="H82" i="5"/>
  <c r="G79" i="5"/>
  <c r="H79" i="5"/>
  <c r="J79" i="5"/>
  <c r="I79" i="5"/>
  <c r="J70" i="5"/>
  <c r="G70" i="5"/>
  <c r="H70" i="5"/>
  <c r="I70" i="5"/>
  <c r="G67" i="5"/>
  <c r="H67" i="5"/>
  <c r="I67" i="5"/>
  <c r="J67" i="5"/>
  <c r="J4" i="5"/>
  <c r="G4" i="5"/>
  <c r="H4" i="5"/>
  <c r="I4" i="5"/>
  <c r="J94" i="5"/>
  <c r="G94" i="5"/>
  <c r="G91" i="5"/>
  <c r="H91" i="5"/>
  <c r="J78" i="5"/>
  <c r="G78" i="5"/>
  <c r="G75" i="5"/>
  <c r="H75" i="5"/>
  <c r="H72" i="5"/>
  <c r="I72" i="5"/>
  <c r="J62" i="5"/>
  <c r="G62" i="5"/>
  <c r="G57" i="5"/>
  <c r="H57" i="5"/>
  <c r="H50" i="5"/>
  <c r="I50" i="5"/>
  <c r="J50" i="5"/>
  <c r="J44" i="5"/>
  <c r="G44" i="5"/>
  <c r="G37" i="5"/>
  <c r="H37" i="5"/>
  <c r="I37" i="5"/>
  <c r="G21" i="5"/>
  <c r="H21" i="5"/>
  <c r="I21" i="5"/>
  <c r="I19" i="5"/>
  <c r="J19" i="5"/>
  <c r="G19" i="5"/>
  <c r="H19" i="5"/>
  <c r="I3" i="5"/>
  <c r="J3" i="5"/>
  <c r="G3" i="5"/>
  <c r="H3" i="5"/>
  <c r="J101" i="5"/>
  <c r="J90" i="5"/>
  <c r="G90" i="5"/>
  <c r="G87" i="5"/>
  <c r="H87" i="5"/>
  <c r="I73" i="5"/>
  <c r="J73" i="5"/>
  <c r="H68" i="5"/>
  <c r="I68" i="5"/>
  <c r="G49" i="5"/>
  <c r="H49" i="5"/>
  <c r="I31" i="5"/>
  <c r="J31" i="5"/>
  <c r="H31" i="5"/>
  <c r="I15" i="5"/>
  <c r="J15" i="5"/>
  <c r="H15" i="5"/>
  <c r="H10" i="5"/>
  <c r="I10" i="5"/>
  <c r="J10" i="5"/>
  <c r="H101" i="5"/>
  <c r="J100" i="5"/>
  <c r="H96" i="5"/>
  <c r="I96" i="5"/>
  <c r="I94" i="5"/>
  <c r="J91" i="5"/>
  <c r="I85" i="5"/>
  <c r="J85" i="5"/>
  <c r="H80" i="5"/>
  <c r="I80" i="5"/>
  <c r="I78" i="5"/>
  <c r="J75" i="5"/>
  <c r="J72" i="5"/>
  <c r="I69" i="5"/>
  <c r="J69" i="5"/>
  <c r="H64" i="5"/>
  <c r="I64" i="5"/>
  <c r="I62" i="5"/>
  <c r="J57" i="5"/>
  <c r="G53" i="5"/>
  <c r="I53" i="5"/>
  <c r="J53" i="5"/>
  <c r="I44" i="5"/>
  <c r="I43" i="5"/>
  <c r="G43" i="5"/>
  <c r="H43" i="5"/>
  <c r="J40" i="5"/>
  <c r="G40" i="5"/>
  <c r="H40" i="5"/>
  <c r="J32" i="5"/>
  <c r="G32" i="5"/>
  <c r="I32" i="5"/>
  <c r="H30" i="5"/>
  <c r="I30" i="5"/>
  <c r="G30" i="5"/>
  <c r="J30" i="5"/>
  <c r="G29" i="5"/>
  <c r="H29" i="5"/>
  <c r="J29" i="5"/>
  <c r="J24" i="5"/>
  <c r="G24" i="5"/>
  <c r="H24" i="5"/>
  <c r="J16" i="5"/>
  <c r="G16" i="5"/>
  <c r="I16" i="5"/>
  <c r="H14" i="5"/>
  <c r="I14" i="5"/>
  <c r="G14" i="5"/>
  <c r="J14" i="5"/>
  <c r="G13" i="5"/>
  <c r="H13" i="5"/>
  <c r="J13" i="5"/>
  <c r="J8" i="5"/>
  <c r="G8" i="5"/>
  <c r="H8" i="5"/>
  <c r="I93" i="5"/>
  <c r="J93" i="5"/>
  <c r="H88" i="5"/>
  <c r="I88" i="5"/>
  <c r="I77" i="5"/>
  <c r="J77" i="5"/>
  <c r="I61" i="5"/>
  <c r="J61" i="5"/>
  <c r="G59" i="5"/>
  <c r="H59" i="5"/>
  <c r="J48" i="5"/>
  <c r="H48" i="5"/>
  <c r="I48" i="5"/>
  <c r="H46" i="5"/>
  <c r="G46" i="5"/>
  <c r="I35" i="5"/>
  <c r="J35" i="5"/>
  <c r="G35" i="5"/>
  <c r="H35" i="5"/>
  <c r="G5" i="5"/>
  <c r="H5" i="5"/>
  <c r="I5" i="5"/>
  <c r="I89" i="5"/>
  <c r="J89" i="5"/>
  <c r="H84" i="5"/>
  <c r="I84" i="5"/>
  <c r="J74" i="5"/>
  <c r="G74" i="5"/>
  <c r="G71" i="5"/>
  <c r="H71" i="5"/>
  <c r="I51" i="5"/>
  <c r="G51" i="5"/>
  <c r="H51" i="5"/>
  <c r="H42" i="5"/>
  <c r="I42" i="5"/>
  <c r="J42" i="5"/>
  <c r="H26" i="5"/>
  <c r="I26" i="5"/>
  <c r="J26" i="5"/>
  <c r="G101" i="5"/>
  <c r="I100" i="5"/>
  <c r="I97" i="5"/>
  <c r="J97" i="5"/>
  <c r="H94" i="5"/>
  <c r="G93" i="5"/>
  <c r="H92" i="5"/>
  <c r="I92" i="5"/>
  <c r="I91" i="5"/>
  <c r="I90" i="5"/>
  <c r="H89" i="5"/>
  <c r="G88" i="5"/>
  <c r="J87" i="5"/>
  <c r="J84" i="5"/>
  <c r="I81" i="5"/>
  <c r="J81" i="5"/>
  <c r="H78" i="5"/>
  <c r="G77" i="5"/>
  <c r="H76" i="5"/>
  <c r="I76" i="5"/>
  <c r="I75" i="5"/>
  <c r="I74" i="5"/>
  <c r="H73" i="5"/>
  <c r="G72" i="5"/>
  <c r="J71" i="5"/>
  <c r="J68" i="5"/>
  <c r="I65" i="5"/>
  <c r="J65" i="5"/>
  <c r="H62" i="5"/>
  <c r="G61" i="5"/>
  <c r="H60" i="5"/>
  <c r="I60" i="5"/>
  <c r="I59" i="5"/>
  <c r="H58" i="5"/>
  <c r="I58" i="5"/>
  <c r="J58" i="5"/>
  <c r="I57" i="5"/>
  <c r="J56" i="5"/>
  <c r="H56" i="5"/>
  <c r="I56" i="5"/>
  <c r="H54" i="5"/>
  <c r="G54" i="5"/>
  <c r="J52" i="5"/>
  <c r="G52" i="5"/>
  <c r="G50" i="5"/>
  <c r="J49" i="5"/>
  <c r="G48" i="5"/>
  <c r="I46" i="5"/>
  <c r="G45" i="5"/>
  <c r="I45" i="5"/>
  <c r="J45" i="5"/>
  <c r="H44" i="5"/>
  <c r="J37" i="5"/>
  <c r="J21" i="5"/>
  <c r="J5" i="5"/>
  <c r="G41" i="5"/>
  <c r="H41" i="5"/>
  <c r="H38" i="5"/>
  <c r="I38" i="5"/>
  <c r="J28" i="5"/>
  <c r="G28" i="5"/>
  <c r="I27" i="5"/>
  <c r="J27" i="5"/>
  <c r="G25" i="5"/>
  <c r="H25" i="5"/>
  <c r="H22" i="5"/>
  <c r="I22" i="5"/>
  <c r="J12" i="5"/>
  <c r="G12" i="5"/>
  <c r="I11" i="5"/>
  <c r="J11" i="5"/>
  <c r="G9" i="5"/>
  <c r="H9" i="5"/>
  <c r="H6" i="5"/>
  <c r="I6" i="5"/>
  <c r="J55" i="5"/>
  <c r="J47" i="5"/>
  <c r="I39" i="5"/>
  <c r="J39" i="5"/>
  <c r="H34" i="5"/>
  <c r="I34" i="5"/>
  <c r="I23" i="5"/>
  <c r="J23" i="5"/>
  <c r="H18" i="5"/>
  <c r="I18" i="5"/>
  <c r="I7" i="5"/>
  <c r="J7" i="5"/>
  <c r="I2" i="5"/>
  <c r="H2" i="5"/>
  <c r="G2" i="5"/>
  <c r="J2" i="5"/>
  <c r="H34" i="4"/>
  <c r="I34" i="4"/>
  <c r="G34" i="4"/>
  <c r="J34" i="4"/>
  <c r="J98" i="4"/>
  <c r="H98" i="4"/>
  <c r="G98" i="4"/>
  <c r="I98" i="4"/>
  <c r="J90" i="4"/>
  <c r="H90" i="4"/>
  <c r="I90" i="4"/>
  <c r="G90" i="4"/>
  <c r="H82" i="4"/>
  <c r="I82" i="4"/>
  <c r="G82" i="4"/>
  <c r="J82" i="4"/>
  <c r="H74" i="4"/>
  <c r="I74" i="4"/>
  <c r="G74" i="4"/>
  <c r="J74" i="4"/>
  <c r="H66" i="4"/>
  <c r="I66" i="4"/>
  <c r="J66" i="4"/>
  <c r="G66" i="4"/>
  <c r="H58" i="4"/>
  <c r="I58" i="4"/>
  <c r="G58" i="4"/>
  <c r="J58" i="4"/>
  <c r="H50" i="4"/>
  <c r="I50" i="4"/>
  <c r="G50" i="4"/>
  <c r="J50" i="4"/>
  <c r="H46" i="4"/>
  <c r="I46" i="4"/>
  <c r="G46" i="4"/>
  <c r="J46" i="4"/>
  <c r="H38" i="4"/>
  <c r="I38" i="4"/>
  <c r="G38" i="4"/>
  <c r="J38" i="4"/>
  <c r="H30" i="4"/>
  <c r="I30" i="4"/>
  <c r="J30" i="4"/>
  <c r="G30" i="4"/>
  <c r="H18" i="4"/>
  <c r="I18" i="4"/>
  <c r="G18" i="4"/>
  <c r="J18" i="4"/>
  <c r="H10" i="4"/>
  <c r="I10" i="4"/>
  <c r="G10" i="4"/>
  <c r="J10" i="4"/>
  <c r="H6" i="4"/>
  <c r="I6" i="4"/>
  <c r="G6" i="4"/>
  <c r="J6" i="4"/>
  <c r="H15" i="4"/>
  <c r="I15" i="4"/>
  <c r="J15" i="4"/>
  <c r="G15" i="4"/>
  <c r="H26" i="4"/>
  <c r="I26" i="4"/>
  <c r="G26" i="4"/>
  <c r="J26" i="4"/>
  <c r="H39" i="4"/>
  <c r="I39" i="4"/>
  <c r="J39" i="4"/>
  <c r="G39" i="4"/>
  <c r="H41" i="4"/>
  <c r="I41" i="4"/>
  <c r="J41" i="4"/>
  <c r="G41" i="4"/>
  <c r="H33" i="4"/>
  <c r="I33" i="4"/>
  <c r="J33" i="4"/>
  <c r="G33" i="4"/>
  <c r="H25" i="4"/>
  <c r="I25" i="4"/>
  <c r="J25" i="4"/>
  <c r="G25" i="4"/>
  <c r="H13" i="4"/>
  <c r="I13" i="4"/>
  <c r="J13" i="4"/>
  <c r="G13" i="4"/>
  <c r="H23" i="4"/>
  <c r="I23" i="4"/>
  <c r="J23" i="4"/>
  <c r="G23" i="4"/>
  <c r="H42" i="4"/>
  <c r="I42" i="4"/>
  <c r="G42" i="4"/>
  <c r="J42" i="4"/>
  <c r="J94" i="4"/>
  <c r="I94" i="4"/>
  <c r="G94" i="4"/>
  <c r="H94" i="4"/>
  <c r="H86" i="4"/>
  <c r="I86" i="4"/>
  <c r="G86" i="4"/>
  <c r="J86" i="4"/>
  <c r="H78" i="4"/>
  <c r="I78" i="4"/>
  <c r="G78" i="4"/>
  <c r="J78" i="4"/>
  <c r="H70" i="4"/>
  <c r="I70" i="4"/>
  <c r="J70" i="4"/>
  <c r="G70" i="4"/>
  <c r="H62" i="4"/>
  <c r="I62" i="4"/>
  <c r="J62" i="4"/>
  <c r="G62" i="4"/>
  <c r="H54" i="4"/>
  <c r="I54" i="4"/>
  <c r="G54" i="4"/>
  <c r="J54" i="4"/>
  <c r="H22" i="4"/>
  <c r="I22" i="4"/>
  <c r="G22" i="4"/>
  <c r="J22" i="4"/>
  <c r="H21" i="4"/>
  <c r="I21" i="4"/>
  <c r="J21" i="4"/>
  <c r="G21" i="4"/>
  <c r="H31" i="4"/>
  <c r="I31" i="4"/>
  <c r="J31" i="4"/>
  <c r="G31" i="4"/>
  <c r="H5" i="4"/>
  <c r="I5" i="4"/>
  <c r="H11" i="4"/>
  <c r="I11" i="4"/>
  <c r="H17" i="4"/>
  <c r="I17" i="4"/>
  <c r="H28" i="4"/>
  <c r="I28" i="4"/>
  <c r="H36" i="4"/>
  <c r="I36" i="4"/>
  <c r="H44" i="4"/>
  <c r="I44" i="4"/>
  <c r="H52" i="4"/>
  <c r="I52" i="4"/>
  <c r="H56" i="4"/>
  <c r="I56" i="4"/>
  <c r="H64" i="4"/>
  <c r="I64" i="4"/>
  <c r="H72" i="4"/>
  <c r="I72" i="4"/>
  <c r="H80" i="4"/>
  <c r="I80" i="4"/>
  <c r="I92" i="4"/>
  <c r="I88" i="4"/>
  <c r="G5" i="4"/>
  <c r="H9" i="4"/>
  <c r="I9" i="4"/>
  <c r="H37" i="4"/>
  <c r="I37" i="4"/>
  <c r="H45" i="4"/>
  <c r="I45" i="4"/>
  <c r="H53" i="4"/>
  <c r="I53" i="4"/>
  <c r="H61" i="4"/>
  <c r="I61" i="4"/>
  <c r="H69" i="4"/>
  <c r="I69" i="4"/>
  <c r="H77" i="4"/>
  <c r="I77" i="4"/>
  <c r="H85" i="4"/>
  <c r="I85" i="4"/>
  <c r="H101" i="4"/>
  <c r="H97" i="4"/>
  <c r="H96" i="4"/>
  <c r="H89" i="4"/>
  <c r="J72" i="4"/>
  <c r="J68" i="4"/>
  <c r="J64" i="4"/>
  <c r="J60" i="4"/>
  <c r="J44" i="4"/>
  <c r="J36" i="4"/>
  <c r="J28" i="4"/>
  <c r="J20" i="4"/>
  <c r="J14" i="4"/>
  <c r="J12" i="4"/>
  <c r="J8" i="4"/>
  <c r="H3" i="4"/>
  <c r="I3" i="4"/>
  <c r="H24" i="4"/>
  <c r="I24" i="4"/>
  <c r="H32" i="4"/>
  <c r="I32" i="4"/>
  <c r="H40" i="4"/>
  <c r="I40" i="4"/>
  <c r="G101" i="4"/>
  <c r="G100" i="4"/>
  <c r="G99" i="4"/>
  <c r="G97" i="4"/>
  <c r="G96" i="4"/>
  <c r="G95" i="4"/>
  <c r="G93" i="4"/>
  <c r="G92" i="4"/>
  <c r="G91" i="4"/>
  <c r="G89" i="4"/>
  <c r="G88" i="4"/>
  <c r="G80" i="4"/>
  <c r="G72" i="4"/>
  <c r="G64" i="4"/>
  <c r="G56" i="4"/>
  <c r="G52" i="4"/>
  <c r="G44" i="4"/>
  <c r="G40" i="4"/>
  <c r="G36" i="4"/>
  <c r="G32" i="4"/>
  <c r="G28" i="4"/>
  <c r="G24" i="4"/>
  <c r="H8" i="4"/>
  <c r="I8" i="4"/>
  <c r="H14" i="4"/>
  <c r="I14" i="4"/>
  <c r="H20" i="4"/>
  <c r="I20" i="4"/>
  <c r="H48" i="4"/>
  <c r="I48" i="4"/>
  <c r="H60" i="4"/>
  <c r="I60" i="4"/>
  <c r="H68" i="4"/>
  <c r="I68" i="4"/>
  <c r="H76" i="4"/>
  <c r="I76" i="4"/>
  <c r="H84" i="4"/>
  <c r="I84" i="4"/>
  <c r="I100" i="4"/>
  <c r="I96" i="4"/>
  <c r="G17" i="4"/>
  <c r="G11" i="4"/>
  <c r="H12" i="4"/>
  <c r="I12" i="4"/>
  <c r="H29" i="4"/>
  <c r="I29" i="4"/>
  <c r="H49" i="4"/>
  <c r="I49" i="4"/>
  <c r="H57" i="4"/>
  <c r="I57" i="4"/>
  <c r="H65" i="4"/>
  <c r="I65" i="4"/>
  <c r="H73" i="4"/>
  <c r="I73" i="4"/>
  <c r="H81" i="4"/>
  <c r="I81" i="4"/>
  <c r="H100" i="4"/>
  <c r="H93" i="4"/>
  <c r="H92" i="4"/>
  <c r="H88" i="4"/>
  <c r="J84" i="4"/>
  <c r="J80" i="4"/>
  <c r="J76" i="4"/>
  <c r="J56" i="4"/>
  <c r="J52" i="4"/>
  <c r="J48" i="4"/>
  <c r="H4" i="4"/>
  <c r="I4" i="4"/>
  <c r="H7" i="4"/>
  <c r="I7" i="4"/>
  <c r="H16" i="4"/>
  <c r="I16" i="4"/>
  <c r="H19" i="4"/>
  <c r="I19" i="4"/>
  <c r="H27" i="4"/>
  <c r="I27" i="4"/>
  <c r="H35" i="4"/>
  <c r="I35" i="4"/>
  <c r="H43" i="4"/>
  <c r="I43" i="4"/>
  <c r="H47" i="4"/>
  <c r="I47" i="4"/>
  <c r="H51" i="4"/>
  <c r="I51" i="4"/>
  <c r="H55" i="4"/>
  <c r="I55" i="4"/>
  <c r="H59" i="4"/>
  <c r="I59" i="4"/>
  <c r="H63" i="4"/>
  <c r="I63" i="4"/>
  <c r="H67" i="4"/>
  <c r="I67" i="4"/>
  <c r="H71" i="4"/>
  <c r="I71" i="4"/>
  <c r="H75" i="4"/>
  <c r="I75" i="4"/>
  <c r="H79" i="4"/>
  <c r="I79" i="4"/>
  <c r="H83" i="4"/>
  <c r="I83" i="4"/>
  <c r="H87" i="4"/>
  <c r="I87" i="4"/>
  <c r="J87" i="4"/>
  <c r="J85" i="4"/>
  <c r="J83" i="4"/>
  <c r="J81" i="4"/>
  <c r="J79" i="4"/>
  <c r="J77" i="4"/>
  <c r="J75" i="4"/>
  <c r="J73" i="4"/>
  <c r="J71" i="4"/>
  <c r="J69" i="4"/>
  <c r="J67" i="4"/>
  <c r="J65" i="4"/>
  <c r="J63" i="4"/>
  <c r="J61" i="4"/>
  <c r="J59" i="4"/>
  <c r="J57" i="4"/>
  <c r="J55" i="4"/>
  <c r="J53" i="4"/>
  <c r="J51" i="4"/>
  <c r="J49" i="4"/>
  <c r="J47" i="4"/>
  <c r="J45" i="4"/>
  <c r="J43" i="4"/>
  <c r="J37" i="4"/>
  <c r="J35" i="4"/>
  <c r="J29" i="4"/>
  <c r="J27" i="4"/>
  <c r="J19" i="4"/>
  <c r="J17" i="4"/>
  <c r="J11" i="4"/>
  <c r="J9" i="4"/>
  <c r="J7" i="4"/>
  <c r="J5" i="4"/>
  <c r="J3" i="4"/>
</calcChain>
</file>

<file path=xl/sharedStrings.xml><?xml version="1.0" encoding="utf-8"?>
<sst xmlns="http://schemas.openxmlformats.org/spreadsheetml/2006/main" count="192" uniqueCount="38">
  <si>
    <t>R</t>
    <phoneticPr fontId="1"/>
  </si>
  <si>
    <t>a</t>
    <phoneticPr fontId="1"/>
  </si>
  <si>
    <t>rho</t>
    <phoneticPr fontId="1"/>
  </si>
  <si>
    <t>n=2</t>
    <phoneticPr fontId="1"/>
  </si>
  <si>
    <t>n=3</t>
    <phoneticPr fontId="1"/>
  </si>
  <si>
    <t>n=4</t>
    <phoneticPr fontId="1"/>
  </si>
  <si>
    <t>n=5</t>
    <phoneticPr fontId="1"/>
  </si>
  <si>
    <t>N of Seg.</t>
    <phoneticPr fontId="1"/>
  </si>
  <si>
    <t>n=1</t>
    <phoneticPr fontId="1"/>
  </si>
  <si>
    <t>Between J.P.</t>
    <phoneticPr fontId="1"/>
  </si>
  <si>
    <t>N of Chains</t>
    <phoneticPr fontId="1"/>
  </si>
  <si>
    <t>&lt;R&gt;</t>
    <phoneticPr fontId="1"/>
  </si>
  <si>
    <t>注１</t>
    <rPh sb="0" eb="1">
      <t>チュウ</t>
    </rPh>
    <phoneticPr fontId="1"/>
  </si>
  <si>
    <t>ファントム鎖の場合は、</t>
    <rPh sb="5" eb="6">
      <t>サ</t>
    </rPh>
    <rPh sb="7" eb="9">
      <t>バアイ</t>
    </rPh>
    <phoneticPr fontId="1"/>
  </si>
  <si>
    <t>(N of Chains)^0.5</t>
    <phoneticPr fontId="1"/>
  </si>
  <si>
    <t>注２</t>
    <rPh sb="0" eb="1">
      <t>チュウ</t>
    </rPh>
    <phoneticPr fontId="1"/>
  </si>
  <si>
    <t>これが、単位セルの対角線の長さの1/2に相当する。</t>
    <rPh sb="4" eb="6">
      <t>タンイ</t>
    </rPh>
    <rPh sb="9" eb="12">
      <t>タイカクセン</t>
    </rPh>
    <rPh sb="13" eb="14">
      <t>ナガ</t>
    </rPh>
    <rPh sb="20" eb="22">
      <t>ソウトウ</t>
    </rPh>
    <phoneticPr fontId="1"/>
  </si>
  <si>
    <t>R*2√6/3</t>
    <phoneticPr fontId="1"/>
  </si>
  <si>
    <t>√2a/2=R*2√6/3</t>
    <phoneticPr fontId="1"/>
  </si>
  <si>
    <t>a=4R*√3/3</t>
    <phoneticPr fontId="1"/>
  </si>
  <si>
    <t>rho （注3）</t>
    <rPh sb="5" eb="6">
      <t>チュウ</t>
    </rPh>
    <phoneticPr fontId="1"/>
  </si>
  <si>
    <t>その構造を取り囲む正四面体の一辺の長さは、</t>
    <rPh sb="2" eb="4">
      <t>コウゾウ</t>
    </rPh>
    <rPh sb="5" eb="6">
      <t>ト</t>
    </rPh>
    <rPh sb="7" eb="8">
      <t>カコ</t>
    </rPh>
    <rPh sb="9" eb="10">
      <t>セイ</t>
    </rPh>
    <rPh sb="10" eb="13">
      <t>シメンタイ</t>
    </rPh>
    <rPh sb="14" eb="16">
      <t>イッペン</t>
    </rPh>
    <rPh sb="17" eb="18">
      <t>ナガ</t>
    </rPh>
    <phoneticPr fontId="1"/>
  </si>
  <si>
    <t>注３</t>
    <rPh sb="0" eb="1">
      <t>チュウ</t>
    </rPh>
    <phoneticPr fontId="1"/>
  </si>
  <si>
    <t>単位セル中に結節点が８個、サブチェインが16本あるので、</t>
    <rPh sb="0" eb="2">
      <t>タンイ</t>
    </rPh>
    <rPh sb="4" eb="5">
      <t>チュウ</t>
    </rPh>
    <rPh sb="6" eb="9">
      <t>ケッセツテン</t>
    </rPh>
    <rPh sb="11" eb="12">
      <t>コ</t>
    </rPh>
    <rPh sb="22" eb="23">
      <t>ホン</t>
    </rPh>
    <phoneticPr fontId="1"/>
  </si>
  <si>
    <t>単位セル中の粒子の総数は、</t>
    <rPh sb="0" eb="2">
      <t>タンイ</t>
    </rPh>
    <rPh sb="4" eb="5">
      <t>チュウ</t>
    </rPh>
    <rPh sb="6" eb="8">
      <t>リュウシ</t>
    </rPh>
    <rPh sb="9" eb="11">
      <t>ソウスウ</t>
    </rPh>
    <phoneticPr fontId="1"/>
  </si>
  <si>
    <t>8+16*(N of Seg.)</t>
    <phoneticPr fontId="1"/>
  </si>
  <si>
    <t>単位セルの体積は、</t>
    <rPh sb="0" eb="2">
      <t>タンイ</t>
    </rPh>
    <rPh sb="5" eb="7">
      <t>タイセキ</t>
    </rPh>
    <phoneticPr fontId="1"/>
  </si>
  <si>
    <t>a^3</t>
    <phoneticPr fontId="1"/>
  </si>
  <si>
    <t>したがって、密度は、</t>
    <rPh sb="6" eb="8">
      <t>ミツド</t>
    </rPh>
    <phoneticPr fontId="1"/>
  </si>
  <si>
    <t>rho=(8+16*(N of Seg.))/a^3</t>
    <phoneticPr fontId="1"/>
  </si>
  <si>
    <t>ダイヤモンド構造の場合、一つの結合長さをRとすると、</t>
    <rPh sb="6" eb="8">
      <t>コウゾウ</t>
    </rPh>
    <rPh sb="9" eb="11">
      <t>バアイ</t>
    </rPh>
    <rPh sb="12" eb="13">
      <t>ヒト</t>
    </rPh>
    <rPh sb="15" eb="17">
      <t>ケツゴウ</t>
    </rPh>
    <rPh sb="17" eb="18">
      <t>ナガ</t>
    </rPh>
    <phoneticPr fontId="1"/>
  </si>
  <si>
    <t>n=4</t>
    <phoneticPr fontId="1"/>
  </si>
  <si>
    <t>n=5</t>
    <phoneticPr fontId="1"/>
  </si>
  <si>
    <t>n=6</t>
    <phoneticPr fontId="1"/>
  </si>
  <si>
    <t>n=7</t>
    <phoneticPr fontId="1"/>
  </si>
  <si>
    <t>0.97*(1.7*(N of Chains))^0.5</t>
    <phoneticPr fontId="1"/>
  </si>
  <si>
    <t>KG鎖の場合は、</t>
    <rPh sb="2" eb="3">
      <t>サ</t>
    </rPh>
    <rPh sb="4" eb="6">
      <t>バアイ</t>
    </rPh>
    <phoneticPr fontId="1"/>
  </si>
  <si>
    <t>(N of Chains)^0.5*b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</si>
</sst>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2"/>
  <sheetViews>
    <sheetView tabSelected="1" topLeftCell="A37" workbookViewId="0">
      <selection activeCell="F52" sqref="F52"/>
    </sheetView>
  </sheetViews>
  <sheetFormatPr defaultRowHeight="13.5" x14ac:dyDescent="0.15"/>
  <cols>
    <col min="2" max="5" width="12.625" style="2" customWidth="1"/>
    <col min="6" max="10" width="9.625" style="4" customWidth="1"/>
  </cols>
  <sheetData>
    <row r="1" spans="2:12" ht="13.5" customHeight="1" x14ac:dyDescent="0.15">
      <c r="B1" s="11" t="s">
        <v>7</v>
      </c>
      <c r="C1" s="14" t="s">
        <v>10</v>
      </c>
      <c r="D1" s="11" t="s">
        <v>11</v>
      </c>
      <c r="E1" s="11" t="s">
        <v>1</v>
      </c>
      <c r="F1" s="16" t="s">
        <v>20</v>
      </c>
      <c r="G1" s="17"/>
      <c r="H1" s="17"/>
      <c r="I1" s="17"/>
      <c r="J1" s="18"/>
    </row>
    <row r="2" spans="2:12" x14ac:dyDescent="0.15">
      <c r="B2" s="12" t="s">
        <v>9</v>
      </c>
      <c r="C2" s="15"/>
      <c r="D2" s="12" t="s">
        <v>12</v>
      </c>
      <c r="E2" s="12" t="s">
        <v>15</v>
      </c>
      <c r="F2" s="4" t="s">
        <v>8</v>
      </c>
      <c r="G2" s="4" t="s">
        <v>3</v>
      </c>
      <c r="H2" s="4" t="s">
        <v>4</v>
      </c>
      <c r="I2" s="4" t="s">
        <v>5</v>
      </c>
      <c r="J2" s="4" t="s">
        <v>6</v>
      </c>
    </row>
    <row r="3" spans="2:12" x14ac:dyDescent="0.15">
      <c r="B3" s="2">
        <v>1</v>
      </c>
      <c r="C3" s="2">
        <f>B3+1</f>
        <v>2</v>
      </c>
      <c r="D3" s="3">
        <f>C3^0.5*0.97</f>
        <v>1.3717871555019023</v>
      </c>
      <c r="E3" s="3">
        <f>D3</f>
        <v>1.3717871555019023</v>
      </c>
      <c r="F3" s="5">
        <f>(1+3*B3)/E3^3</f>
        <v>1.5495293082770003</v>
      </c>
      <c r="G3" s="5">
        <f>F3*2</f>
        <v>3.0990586165540006</v>
      </c>
      <c r="H3" s="5">
        <f>F3*3</f>
        <v>4.6485879248310011</v>
      </c>
      <c r="I3" s="5">
        <f>F3*4</f>
        <v>6.1981172331080012</v>
      </c>
      <c r="J3" s="5">
        <f>F3*5</f>
        <v>7.7476465413850013</v>
      </c>
      <c r="L3" t="s">
        <v>12</v>
      </c>
    </row>
    <row r="4" spans="2:12" x14ac:dyDescent="0.15">
      <c r="B4" s="2">
        <v>2</v>
      </c>
      <c r="C4" s="2">
        <f t="shared" ref="C4:C67" si="0">B4+1</f>
        <v>3</v>
      </c>
      <c r="D4" s="3">
        <f t="shared" ref="D4:D67" si="1">C4^0.5*0.97</f>
        <v>1.6800892833418108</v>
      </c>
      <c r="E4" s="3">
        <f t="shared" ref="E4:E67" si="2">D4</f>
        <v>1.6800892833418108</v>
      </c>
      <c r="F4" s="5">
        <f t="shared" ref="F4:F67" si="3">(1+3*B4)/E4^3</f>
        <v>1.4760496126313882</v>
      </c>
      <c r="G4" s="5">
        <f t="shared" ref="G4:G67" si="4">F4*2</f>
        <v>2.9520992252627765</v>
      </c>
      <c r="H4" s="5">
        <f t="shared" ref="H4:H67" si="5">F4*3</f>
        <v>4.4281488378941649</v>
      </c>
      <c r="I4" s="5">
        <f t="shared" ref="I4:I67" si="6">F4*4</f>
        <v>5.9041984505255529</v>
      </c>
      <c r="J4" s="5">
        <f t="shared" ref="J4:J67" si="7">F4*5</f>
        <v>7.3802480631569409</v>
      </c>
      <c r="L4" t="s">
        <v>13</v>
      </c>
    </row>
    <row r="5" spans="2:12" x14ac:dyDescent="0.15">
      <c r="B5" s="2">
        <v>3</v>
      </c>
      <c r="C5" s="2">
        <f t="shared" si="0"/>
        <v>4</v>
      </c>
      <c r="D5" s="3">
        <f t="shared" si="1"/>
        <v>1.94</v>
      </c>
      <c r="E5" s="3">
        <f t="shared" si="2"/>
        <v>1.94</v>
      </c>
      <c r="F5" s="5">
        <f t="shared" si="3"/>
        <v>1.3696033519124593</v>
      </c>
      <c r="G5" s="5">
        <f t="shared" si="4"/>
        <v>2.7392067038249186</v>
      </c>
      <c r="H5" s="5">
        <f t="shared" si="5"/>
        <v>4.1088100557373775</v>
      </c>
      <c r="I5" s="5">
        <f t="shared" si="6"/>
        <v>5.4784134076498372</v>
      </c>
      <c r="J5" s="5">
        <f t="shared" si="7"/>
        <v>6.8480167595622969</v>
      </c>
      <c r="L5" t="s">
        <v>14</v>
      </c>
    </row>
    <row r="6" spans="2:12" x14ac:dyDescent="0.15">
      <c r="B6" s="2">
        <v>4</v>
      </c>
      <c r="C6" s="2">
        <f t="shared" si="0"/>
        <v>5</v>
      </c>
      <c r="D6" s="3">
        <f t="shared" si="1"/>
        <v>2.1689859381747962</v>
      </c>
      <c r="E6" s="3">
        <f t="shared" si="2"/>
        <v>2.1689859381747962</v>
      </c>
      <c r="F6" s="5">
        <f t="shared" si="3"/>
        <v>1.274010897988535</v>
      </c>
      <c r="G6" s="5">
        <f t="shared" si="4"/>
        <v>2.5480217959770699</v>
      </c>
      <c r="H6" s="5">
        <f t="shared" si="5"/>
        <v>3.8220326939656051</v>
      </c>
      <c r="I6" s="5">
        <f t="shared" si="6"/>
        <v>5.0960435919541398</v>
      </c>
      <c r="J6" s="5">
        <f t="shared" si="7"/>
        <v>6.3700544899426745</v>
      </c>
    </row>
    <row r="7" spans="2:12" x14ac:dyDescent="0.15">
      <c r="B7" s="2">
        <v>5</v>
      </c>
      <c r="C7" s="2">
        <f t="shared" si="0"/>
        <v>6</v>
      </c>
      <c r="D7" s="3">
        <f t="shared" si="1"/>
        <v>2.3760050504996824</v>
      </c>
      <c r="E7" s="3">
        <f t="shared" si="2"/>
        <v>2.3760050504996824</v>
      </c>
      <c r="F7" s="5">
        <f t="shared" si="3"/>
        <v>1.1928282176679219</v>
      </c>
      <c r="G7" s="5">
        <f t="shared" si="4"/>
        <v>2.3856564353358438</v>
      </c>
      <c r="H7" s="5">
        <f t="shared" si="5"/>
        <v>3.5784846530037657</v>
      </c>
      <c r="I7" s="5">
        <f t="shared" si="6"/>
        <v>4.7713128706716876</v>
      </c>
      <c r="J7" s="5">
        <f t="shared" si="7"/>
        <v>5.9641410883396091</v>
      </c>
      <c r="L7" t="s">
        <v>15</v>
      </c>
    </row>
    <row r="8" spans="2:12" x14ac:dyDescent="0.15">
      <c r="B8" s="2">
        <v>6</v>
      </c>
      <c r="C8" s="2">
        <f t="shared" si="0"/>
        <v>7</v>
      </c>
      <c r="D8" s="3">
        <f t="shared" si="1"/>
        <v>2.5663787717326527</v>
      </c>
      <c r="E8" s="3">
        <f t="shared" si="2"/>
        <v>2.5663787717326527</v>
      </c>
      <c r="F8" s="5">
        <f t="shared" si="3"/>
        <v>1.1240647741266303</v>
      </c>
      <c r="G8" s="5">
        <f t="shared" si="4"/>
        <v>2.2481295482532606</v>
      </c>
      <c r="H8" s="5">
        <f t="shared" si="5"/>
        <v>3.3721943223798911</v>
      </c>
      <c r="I8" s="5">
        <f t="shared" si="6"/>
        <v>4.4962590965065212</v>
      </c>
      <c r="J8" s="5">
        <f t="shared" si="7"/>
        <v>5.6203238706331513</v>
      </c>
      <c r="L8" t="s">
        <v>30</v>
      </c>
    </row>
    <row r="9" spans="2:12" x14ac:dyDescent="0.15">
      <c r="B9" s="2">
        <v>7</v>
      </c>
      <c r="C9" s="2">
        <f t="shared" si="0"/>
        <v>8</v>
      </c>
      <c r="D9" s="3">
        <f t="shared" si="1"/>
        <v>2.7435743110038047</v>
      </c>
      <c r="E9" s="3">
        <f t="shared" si="2"/>
        <v>2.7435743110038047</v>
      </c>
      <c r="F9" s="5">
        <f t="shared" si="3"/>
        <v>1.0653013994404377</v>
      </c>
      <c r="G9" s="10">
        <f t="shared" si="4"/>
        <v>2.1306027988808753</v>
      </c>
      <c r="H9" s="5">
        <f t="shared" si="5"/>
        <v>3.1959041983213128</v>
      </c>
      <c r="I9" s="5">
        <f t="shared" si="6"/>
        <v>4.2612055977617507</v>
      </c>
      <c r="J9" s="5">
        <f t="shared" si="7"/>
        <v>5.3265069972021886</v>
      </c>
      <c r="L9" t="s">
        <v>21</v>
      </c>
    </row>
    <row r="10" spans="2:12" x14ac:dyDescent="0.15">
      <c r="B10" s="2">
        <v>8</v>
      </c>
      <c r="C10" s="2">
        <f t="shared" si="0"/>
        <v>9</v>
      </c>
      <c r="D10" s="3">
        <f t="shared" si="1"/>
        <v>2.91</v>
      </c>
      <c r="E10" s="3">
        <f t="shared" si="2"/>
        <v>2.91</v>
      </c>
      <c r="F10" s="5">
        <f t="shared" si="3"/>
        <v>1.0145210014166364</v>
      </c>
      <c r="G10" s="5">
        <f t="shared" si="4"/>
        <v>2.0290420028332727</v>
      </c>
      <c r="H10" s="5">
        <f t="shared" si="5"/>
        <v>3.0435630042499091</v>
      </c>
      <c r="I10" s="5">
        <f t="shared" si="6"/>
        <v>4.0580840056665455</v>
      </c>
      <c r="J10" s="5">
        <f t="shared" si="7"/>
        <v>5.0726050070831814</v>
      </c>
      <c r="L10" t="s">
        <v>17</v>
      </c>
    </row>
    <row r="11" spans="2:12" x14ac:dyDescent="0.15">
      <c r="B11" s="2">
        <v>9</v>
      </c>
      <c r="C11" s="2">
        <f t="shared" si="0"/>
        <v>10</v>
      </c>
      <c r="D11" s="3">
        <f t="shared" si="1"/>
        <v>3.0674093303633279</v>
      </c>
      <c r="E11" s="3">
        <f t="shared" si="2"/>
        <v>3.0674093303633279</v>
      </c>
      <c r="F11" s="5">
        <f t="shared" si="3"/>
        <v>0.97015880260196841</v>
      </c>
      <c r="G11" s="5">
        <f t="shared" si="4"/>
        <v>1.9403176052039368</v>
      </c>
      <c r="H11" s="5">
        <f t="shared" si="5"/>
        <v>2.9104764078059051</v>
      </c>
      <c r="I11" s="5">
        <f t="shared" si="6"/>
        <v>3.8806352104078736</v>
      </c>
      <c r="J11" s="5">
        <f t="shared" si="7"/>
        <v>4.8507940130098417</v>
      </c>
      <c r="L11" t="s">
        <v>16</v>
      </c>
    </row>
    <row r="12" spans="2:12" x14ac:dyDescent="0.15">
      <c r="B12" s="2">
        <v>10</v>
      </c>
      <c r="C12" s="2">
        <f t="shared" si="0"/>
        <v>11</v>
      </c>
      <c r="D12" s="3">
        <f t="shared" si="1"/>
        <v>3.2171260466447378</v>
      </c>
      <c r="E12" s="3">
        <f t="shared" si="2"/>
        <v>3.2171260466447378</v>
      </c>
      <c r="F12" s="10">
        <f t="shared" si="3"/>
        <v>0.93101668315443387</v>
      </c>
      <c r="G12" s="5">
        <f t="shared" si="4"/>
        <v>1.8620333663088677</v>
      </c>
      <c r="H12" s="5">
        <f t="shared" si="5"/>
        <v>2.7930500494633015</v>
      </c>
      <c r="I12" s="5">
        <f t="shared" si="6"/>
        <v>3.7240667326177355</v>
      </c>
      <c r="J12" s="5">
        <f t="shared" si="7"/>
        <v>4.655083415772169</v>
      </c>
      <c r="L12" t="s">
        <v>18</v>
      </c>
    </row>
    <row r="13" spans="2:12" x14ac:dyDescent="0.15">
      <c r="B13" s="2">
        <v>11</v>
      </c>
      <c r="C13" s="2">
        <f t="shared" si="0"/>
        <v>12</v>
      </c>
      <c r="D13" s="3">
        <f t="shared" si="1"/>
        <v>3.3601785666836217</v>
      </c>
      <c r="E13" s="3">
        <f t="shared" si="2"/>
        <v>3.3601785666836217</v>
      </c>
      <c r="F13" s="5">
        <f t="shared" si="3"/>
        <v>0.89617297909762861</v>
      </c>
      <c r="G13" s="5">
        <f t="shared" si="4"/>
        <v>1.7923459581952572</v>
      </c>
      <c r="H13" s="5">
        <f t="shared" si="5"/>
        <v>2.6885189372928857</v>
      </c>
      <c r="I13" s="5">
        <f t="shared" si="6"/>
        <v>3.5846919163905144</v>
      </c>
      <c r="J13" s="5">
        <f t="shared" si="7"/>
        <v>4.4808648954881427</v>
      </c>
      <c r="L13" t="s">
        <v>19</v>
      </c>
    </row>
    <row r="14" spans="2:12" x14ac:dyDescent="0.15">
      <c r="B14" s="2">
        <v>12</v>
      </c>
      <c r="C14" s="2">
        <f t="shared" si="0"/>
        <v>13</v>
      </c>
      <c r="D14" s="3">
        <f t="shared" si="1"/>
        <v>3.4973847372000693</v>
      </c>
      <c r="E14" s="3">
        <f t="shared" si="2"/>
        <v>3.4973847372000693</v>
      </c>
      <c r="F14" s="5">
        <f t="shared" si="3"/>
        <v>0.86491114394132917</v>
      </c>
      <c r="G14" s="5">
        <f t="shared" si="4"/>
        <v>1.7298222878826583</v>
      </c>
      <c r="H14" s="5">
        <f t="shared" si="5"/>
        <v>2.5947334318239874</v>
      </c>
      <c r="I14" s="5">
        <f t="shared" si="6"/>
        <v>3.4596445757653167</v>
      </c>
      <c r="J14" s="5">
        <f t="shared" si="7"/>
        <v>4.3245557197066455</v>
      </c>
    </row>
    <row r="15" spans="2:12" x14ac:dyDescent="0.15">
      <c r="B15" s="2">
        <v>13</v>
      </c>
      <c r="C15" s="2">
        <f t="shared" si="0"/>
        <v>14</v>
      </c>
      <c r="D15" s="3">
        <f t="shared" si="1"/>
        <v>3.629407665170723</v>
      </c>
      <c r="E15" s="3">
        <f t="shared" si="2"/>
        <v>3.629407665170723</v>
      </c>
      <c r="F15" s="6">
        <f t="shared" si="3"/>
        <v>0.83666718345038438</v>
      </c>
      <c r="G15" s="5">
        <f t="shared" si="4"/>
        <v>1.6733343669007688</v>
      </c>
      <c r="H15" s="5">
        <f t="shared" si="5"/>
        <v>2.510001550351153</v>
      </c>
      <c r="I15" s="5">
        <f t="shared" si="6"/>
        <v>3.3466687338015375</v>
      </c>
      <c r="J15" s="5">
        <f t="shared" si="7"/>
        <v>4.183335917251922</v>
      </c>
      <c r="L15" t="s">
        <v>22</v>
      </c>
    </row>
    <row r="16" spans="2:12" x14ac:dyDescent="0.15">
      <c r="B16" s="2">
        <v>14</v>
      </c>
      <c r="C16" s="2">
        <f t="shared" si="0"/>
        <v>15</v>
      </c>
      <c r="D16" s="3">
        <f t="shared" si="1"/>
        <v>3.7567938458211945</v>
      </c>
      <c r="E16" s="3">
        <f t="shared" si="2"/>
        <v>3.7567938458211945</v>
      </c>
      <c r="F16" s="5">
        <f t="shared" si="3"/>
        <v>0.81099161540719245</v>
      </c>
      <c r="G16" s="5">
        <f t="shared" si="4"/>
        <v>1.6219832308143849</v>
      </c>
      <c r="H16" s="5">
        <f t="shared" si="5"/>
        <v>2.4329748462215774</v>
      </c>
      <c r="I16" s="5">
        <f t="shared" si="6"/>
        <v>3.2439664616287698</v>
      </c>
      <c r="J16" s="5">
        <f t="shared" si="7"/>
        <v>4.0549580770359626</v>
      </c>
      <c r="L16" t="s">
        <v>23</v>
      </c>
    </row>
    <row r="17" spans="2:12" x14ac:dyDescent="0.15">
      <c r="B17" s="2">
        <v>15</v>
      </c>
      <c r="C17" s="2">
        <f t="shared" si="0"/>
        <v>16</v>
      </c>
      <c r="D17" s="3">
        <f t="shared" si="1"/>
        <v>3.88</v>
      </c>
      <c r="E17" s="3">
        <f t="shared" si="2"/>
        <v>3.88</v>
      </c>
      <c r="F17" s="5">
        <f t="shared" si="3"/>
        <v>0.7875219273496642</v>
      </c>
      <c r="G17" s="5">
        <f t="shared" si="4"/>
        <v>1.5750438546993284</v>
      </c>
      <c r="H17" s="5">
        <f t="shared" si="5"/>
        <v>2.3625657820489927</v>
      </c>
      <c r="I17" s="5">
        <f t="shared" si="6"/>
        <v>3.1500877093986568</v>
      </c>
      <c r="J17" s="5">
        <f t="shared" si="7"/>
        <v>3.9376096367483209</v>
      </c>
      <c r="L17" t="s">
        <v>24</v>
      </c>
    </row>
    <row r="18" spans="2:12" x14ac:dyDescent="0.15">
      <c r="B18" s="2">
        <v>16</v>
      </c>
      <c r="C18" s="2">
        <f t="shared" si="0"/>
        <v>17</v>
      </c>
      <c r="D18" s="3">
        <f t="shared" si="1"/>
        <v>3.9994124568491305</v>
      </c>
      <c r="E18" s="3">
        <f t="shared" si="2"/>
        <v>3.9994124568491305</v>
      </c>
      <c r="F18" s="5">
        <f t="shared" si="3"/>
        <v>0.76596247743008505</v>
      </c>
      <c r="G18" s="5">
        <f t="shared" si="4"/>
        <v>1.5319249548601701</v>
      </c>
      <c r="H18" s="5">
        <f t="shared" si="5"/>
        <v>2.2978874322902554</v>
      </c>
      <c r="I18" s="5">
        <f t="shared" si="6"/>
        <v>3.0638499097203402</v>
      </c>
      <c r="J18" s="5">
        <f t="shared" si="7"/>
        <v>3.829812387150425</v>
      </c>
      <c r="L18" t="s">
        <v>25</v>
      </c>
    </row>
    <row r="19" spans="2:12" x14ac:dyDescent="0.15">
      <c r="B19" s="2">
        <v>17</v>
      </c>
      <c r="C19" s="2">
        <f t="shared" si="0"/>
        <v>18</v>
      </c>
      <c r="D19" s="3">
        <f t="shared" si="1"/>
        <v>4.1153614665057061</v>
      </c>
      <c r="E19" s="3">
        <f t="shared" si="2"/>
        <v>4.1153614665057061</v>
      </c>
      <c r="F19" s="5">
        <f t="shared" si="3"/>
        <v>0.74606966694818577</v>
      </c>
      <c r="G19" s="5">
        <f t="shared" si="4"/>
        <v>1.4921393338963715</v>
      </c>
      <c r="H19" s="5">
        <f t="shared" si="5"/>
        <v>2.2382090008445572</v>
      </c>
      <c r="I19" s="5">
        <f t="shared" si="6"/>
        <v>2.9842786677927431</v>
      </c>
      <c r="J19" s="5">
        <f t="shared" si="7"/>
        <v>3.730348334740929</v>
      </c>
      <c r="L19" t="s">
        <v>26</v>
      </c>
    </row>
    <row r="20" spans="2:12" x14ac:dyDescent="0.15">
      <c r="B20" s="2">
        <v>18</v>
      </c>
      <c r="C20" s="2">
        <f t="shared" si="0"/>
        <v>19</v>
      </c>
      <c r="D20" s="3">
        <f t="shared" si="1"/>
        <v>4.2281319752344535</v>
      </c>
      <c r="E20" s="3">
        <f t="shared" si="2"/>
        <v>4.2281319752344535</v>
      </c>
      <c r="F20" s="5">
        <f t="shared" si="3"/>
        <v>0.72764087136765454</v>
      </c>
      <c r="G20" s="5">
        <f t="shared" si="4"/>
        <v>1.4552817427353091</v>
      </c>
      <c r="H20" s="5">
        <f t="shared" si="5"/>
        <v>2.1829226141029636</v>
      </c>
      <c r="I20" s="5">
        <f t="shared" si="6"/>
        <v>2.9105634854706182</v>
      </c>
      <c r="J20" s="5">
        <f t="shared" si="7"/>
        <v>3.6382043568382727</v>
      </c>
      <c r="L20" t="s">
        <v>27</v>
      </c>
    </row>
    <row r="21" spans="2:12" x14ac:dyDescent="0.15">
      <c r="B21" s="2">
        <v>19</v>
      </c>
      <c r="C21" s="2">
        <f t="shared" si="0"/>
        <v>20</v>
      </c>
      <c r="D21" s="3">
        <f t="shared" si="1"/>
        <v>4.3379718763495925</v>
      </c>
      <c r="E21" s="3">
        <f t="shared" si="2"/>
        <v>4.3379718763495925</v>
      </c>
      <c r="F21" s="5">
        <f t="shared" si="3"/>
        <v>0.71050607772437524</v>
      </c>
      <c r="G21" s="5">
        <f t="shared" si="4"/>
        <v>1.4210121554487505</v>
      </c>
      <c r="H21" s="10">
        <f t="shared" si="5"/>
        <v>2.1315182331731259</v>
      </c>
      <c r="I21" s="5">
        <f t="shared" si="6"/>
        <v>2.842024310897501</v>
      </c>
      <c r="J21" s="5">
        <f t="shared" si="7"/>
        <v>3.552530388621876</v>
      </c>
      <c r="L21" t="s">
        <v>28</v>
      </c>
    </row>
    <row r="22" spans="2:12" x14ac:dyDescent="0.15">
      <c r="B22" s="2">
        <v>20</v>
      </c>
      <c r="C22" s="2">
        <f t="shared" si="0"/>
        <v>21</v>
      </c>
      <c r="D22" s="3">
        <f t="shared" si="1"/>
        <v>4.4450984241071643</v>
      </c>
      <c r="E22" s="3">
        <f t="shared" si="2"/>
        <v>4.4450984241071643</v>
      </c>
      <c r="F22" s="5">
        <f t="shared" si="3"/>
        <v>0.69452149290603071</v>
      </c>
      <c r="G22" s="5">
        <f t="shared" si="4"/>
        <v>1.3890429858120614</v>
      </c>
      <c r="H22" s="5">
        <f t="shared" si="5"/>
        <v>2.0835644787180922</v>
      </c>
      <c r="I22" s="5">
        <f t="shared" si="6"/>
        <v>2.7780859716241229</v>
      </c>
      <c r="J22" s="5">
        <f t="shared" si="7"/>
        <v>3.4726074645301535</v>
      </c>
      <c r="L22" t="s">
        <v>29</v>
      </c>
    </row>
    <row r="23" spans="2:12" x14ac:dyDescent="0.15">
      <c r="B23" s="2">
        <v>21</v>
      </c>
      <c r="C23" s="2">
        <f t="shared" si="0"/>
        <v>22</v>
      </c>
      <c r="D23" s="3">
        <f t="shared" si="1"/>
        <v>4.5497032870287271</v>
      </c>
      <c r="E23" s="3">
        <f t="shared" si="2"/>
        <v>4.5497032870287271</v>
      </c>
      <c r="F23" s="5">
        <f t="shared" si="3"/>
        <v>0.67956460392909146</v>
      </c>
      <c r="G23" s="5">
        <f t="shared" si="4"/>
        <v>1.3591292078581829</v>
      </c>
      <c r="H23" s="5">
        <f t="shared" si="5"/>
        <v>2.0386938117872742</v>
      </c>
      <c r="I23" s="5">
        <f t="shared" si="6"/>
        <v>2.7182584157163658</v>
      </c>
      <c r="J23" s="5">
        <f t="shared" si="7"/>
        <v>3.3978230196454575</v>
      </c>
    </row>
    <row r="24" spans="2:12" x14ac:dyDescent="0.15">
      <c r="B24" s="2">
        <v>22</v>
      </c>
      <c r="C24" s="2">
        <f t="shared" si="0"/>
        <v>23</v>
      </c>
      <c r="D24" s="3">
        <f t="shared" si="1"/>
        <v>4.6519565776133378</v>
      </c>
      <c r="E24" s="3">
        <f t="shared" si="2"/>
        <v>4.6519565776133378</v>
      </c>
      <c r="F24" s="5">
        <f t="shared" si="3"/>
        <v>0.66553032027062076</v>
      </c>
      <c r="G24" s="5">
        <f t="shared" si="4"/>
        <v>1.3310606405412415</v>
      </c>
      <c r="H24" s="5">
        <f t="shared" si="5"/>
        <v>1.9965909608118624</v>
      </c>
      <c r="I24" s="5">
        <f t="shared" si="6"/>
        <v>2.662121281082483</v>
      </c>
      <c r="J24" s="5">
        <f t="shared" si="7"/>
        <v>3.3276516013531037</v>
      </c>
    </row>
    <row r="25" spans="2:12" x14ac:dyDescent="0.15">
      <c r="B25" s="2">
        <v>23</v>
      </c>
      <c r="C25" s="2">
        <f t="shared" si="0"/>
        <v>24</v>
      </c>
      <c r="D25" s="3">
        <f t="shared" si="1"/>
        <v>4.7520101009993647</v>
      </c>
      <c r="E25" s="3">
        <f t="shared" si="2"/>
        <v>4.7520101009993647</v>
      </c>
      <c r="F25" s="5">
        <f t="shared" si="3"/>
        <v>0.65232793153714486</v>
      </c>
      <c r="G25" s="5">
        <f t="shared" si="4"/>
        <v>1.3046558630742897</v>
      </c>
      <c r="H25" s="5">
        <f t="shared" si="5"/>
        <v>1.9569837946114346</v>
      </c>
      <c r="I25" s="5">
        <f t="shared" si="6"/>
        <v>2.6093117261485794</v>
      </c>
      <c r="J25" s="5">
        <f t="shared" si="7"/>
        <v>3.2616396576857243</v>
      </c>
    </row>
    <row r="26" spans="2:12" x14ac:dyDescent="0.15">
      <c r="B26" s="2">
        <v>24</v>
      </c>
      <c r="C26" s="2">
        <f t="shared" si="0"/>
        <v>25</v>
      </c>
      <c r="D26" s="3">
        <f t="shared" si="1"/>
        <v>4.8499999999999996</v>
      </c>
      <c r="E26" s="3">
        <f t="shared" si="2"/>
        <v>4.8499999999999996</v>
      </c>
      <c r="F26" s="5">
        <f t="shared" si="3"/>
        <v>0.63987868601350117</v>
      </c>
      <c r="G26" s="5">
        <f t="shared" si="4"/>
        <v>1.2797573720270023</v>
      </c>
      <c r="H26" s="5">
        <f t="shared" si="5"/>
        <v>1.9196360580405036</v>
      </c>
      <c r="I26" s="5">
        <f t="shared" si="6"/>
        <v>2.5595147440540047</v>
      </c>
      <c r="J26" s="5">
        <f t="shared" si="7"/>
        <v>3.1993934300675058</v>
      </c>
    </row>
    <row r="27" spans="2:12" x14ac:dyDescent="0.15">
      <c r="B27" s="2">
        <v>25</v>
      </c>
      <c r="C27" s="2">
        <f t="shared" si="0"/>
        <v>26</v>
      </c>
      <c r="D27" s="3">
        <f t="shared" si="1"/>
        <v>4.9460489281850011</v>
      </c>
      <c r="E27" s="3">
        <f t="shared" si="2"/>
        <v>4.9460489281850011</v>
      </c>
      <c r="F27" s="5">
        <f t="shared" si="3"/>
        <v>0.62811384676161242</v>
      </c>
      <c r="G27" s="5">
        <f t="shared" si="4"/>
        <v>1.2562276935232248</v>
      </c>
      <c r="H27" s="5">
        <f t="shared" si="5"/>
        <v>1.8843415402848374</v>
      </c>
      <c r="I27" s="5">
        <f t="shared" si="6"/>
        <v>2.5124553870464497</v>
      </c>
      <c r="J27" s="5">
        <f t="shared" si="7"/>
        <v>3.140569233808062</v>
      </c>
    </row>
    <row r="28" spans="2:12" x14ac:dyDescent="0.15">
      <c r="B28" s="2">
        <v>26</v>
      </c>
      <c r="C28" s="2">
        <f t="shared" si="0"/>
        <v>27</v>
      </c>
      <c r="D28" s="3">
        <f t="shared" si="1"/>
        <v>5.0402678500254332</v>
      </c>
      <c r="E28" s="3">
        <f t="shared" si="2"/>
        <v>5.0402678500254332</v>
      </c>
      <c r="F28" s="5">
        <f t="shared" si="3"/>
        <v>0.61697311850729963</v>
      </c>
      <c r="G28" s="5">
        <f t="shared" si="4"/>
        <v>1.2339462370145993</v>
      </c>
      <c r="H28" s="5">
        <f t="shared" si="5"/>
        <v>1.8509193555218988</v>
      </c>
      <c r="I28" s="5">
        <f t="shared" si="6"/>
        <v>2.4678924740291985</v>
      </c>
      <c r="J28" s="5">
        <f t="shared" si="7"/>
        <v>3.0848655925364983</v>
      </c>
    </row>
    <row r="29" spans="2:12" x14ac:dyDescent="0.15">
      <c r="B29" s="2">
        <v>27</v>
      </c>
      <c r="C29" s="2">
        <f t="shared" si="0"/>
        <v>28</v>
      </c>
      <c r="D29" s="3">
        <f t="shared" si="1"/>
        <v>5.1327575434653054</v>
      </c>
      <c r="E29" s="3">
        <f t="shared" si="2"/>
        <v>5.1327575434653054</v>
      </c>
      <c r="F29" s="5">
        <f t="shared" si="3"/>
        <v>0.60640336498936631</v>
      </c>
      <c r="G29" s="5">
        <f t="shared" si="4"/>
        <v>1.2128067299787326</v>
      </c>
      <c r="H29" s="5">
        <f t="shared" si="5"/>
        <v>1.8192100949680989</v>
      </c>
      <c r="I29" s="5">
        <f t="shared" si="6"/>
        <v>2.4256134599574652</v>
      </c>
      <c r="J29" s="5">
        <f t="shared" si="7"/>
        <v>3.0320168249468313</v>
      </c>
    </row>
    <row r="30" spans="2:12" x14ac:dyDescent="0.15">
      <c r="B30" s="2">
        <v>28</v>
      </c>
      <c r="C30" s="2">
        <f t="shared" si="0"/>
        <v>29</v>
      </c>
      <c r="D30" s="3">
        <f t="shared" si="1"/>
        <v>5.2236098629204681</v>
      </c>
      <c r="E30" s="3">
        <f t="shared" si="2"/>
        <v>5.2236098629204681</v>
      </c>
      <c r="F30" s="5">
        <f t="shared" si="3"/>
        <v>0.59635755575596361</v>
      </c>
      <c r="G30" s="5">
        <f t="shared" si="4"/>
        <v>1.1927151115119272</v>
      </c>
      <c r="H30" s="5">
        <f t="shared" si="5"/>
        <v>1.7890726672678907</v>
      </c>
      <c r="I30" s="5">
        <f t="shared" si="6"/>
        <v>2.3854302230238544</v>
      </c>
      <c r="J30" s="5">
        <f t="shared" si="7"/>
        <v>2.9817877787798182</v>
      </c>
    </row>
    <row r="31" spans="2:12" x14ac:dyDescent="0.15">
      <c r="B31" s="2">
        <v>29</v>
      </c>
      <c r="C31" s="2">
        <f t="shared" si="0"/>
        <v>30</v>
      </c>
      <c r="D31" s="3">
        <f t="shared" si="1"/>
        <v>5.3129088078001114</v>
      </c>
      <c r="E31" s="3">
        <f t="shared" si="2"/>
        <v>5.3129088078001114</v>
      </c>
      <c r="F31" s="5">
        <f t="shared" si="3"/>
        <v>0.58679389564078521</v>
      </c>
      <c r="G31" s="5">
        <f t="shared" si="4"/>
        <v>1.1735877912815704</v>
      </c>
      <c r="H31" s="5">
        <f t="shared" si="5"/>
        <v>1.7603816869223556</v>
      </c>
      <c r="I31" s="5">
        <f t="shared" si="6"/>
        <v>2.3471755825631408</v>
      </c>
      <c r="J31" s="5">
        <f t="shared" si="7"/>
        <v>2.9339694782039261</v>
      </c>
    </row>
    <row r="32" spans="2:12" x14ac:dyDescent="0.15">
      <c r="B32" s="2">
        <v>30</v>
      </c>
      <c r="C32" s="2">
        <f t="shared" si="0"/>
        <v>31</v>
      </c>
      <c r="D32" s="3">
        <f t="shared" si="1"/>
        <v>5.400731431945121</v>
      </c>
      <c r="E32" s="3">
        <f t="shared" si="2"/>
        <v>5.400731431945121</v>
      </c>
      <c r="F32" s="5">
        <f t="shared" si="3"/>
        <v>0.5776751007643347</v>
      </c>
      <c r="G32" s="5">
        <f t="shared" si="4"/>
        <v>1.1553502015286694</v>
      </c>
      <c r="H32" s="5">
        <f t="shared" si="5"/>
        <v>1.733025302293004</v>
      </c>
      <c r="I32" s="5">
        <f t="shared" si="6"/>
        <v>2.3107004030573388</v>
      </c>
      <c r="J32" s="5">
        <f t="shared" si="7"/>
        <v>2.8883755038216736</v>
      </c>
    </row>
    <row r="33" spans="2:10" x14ac:dyDescent="0.15">
      <c r="B33" s="2">
        <v>31</v>
      </c>
      <c r="C33" s="2">
        <f t="shared" si="0"/>
        <v>32</v>
      </c>
      <c r="D33" s="3">
        <f t="shared" si="1"/>
        <v>5.4871486220076093</v>
      </c>
      <c r="E33" s="3">
        <f t="shared" si="2"/>
        <v>5.4871486220076093</v>
      </c>
      <c r="F33" s="5">
        <f t="shared" si="3"/>
        <v>0.56896779288296107</v>
      </c>
      <c r="G33" s="5">
        <f t="shared" si="4"/>
        <v>1.1379355857659221</v>
      </c>
      <c r="H33" s="5">
        <f t="shared" si="5"/>
        <v>1.7069033786488832</v>
      </c>
      <c r="I33" s="5">
        <f t="shared" si="6"/>
        <v>2.2758711715318443</v>
      </c>
      <c r="J33" s="5">
        <f t="shared" si="7"/>
        <v>2.8448389644148051</v>
      </c>
    </row>
    <row r="34" spans="2:10" x14ac:dyDescent="0.15">
      <c r="B34" s="2">
        <v>32</v>
      </c>
      <c r="C34" s="2">
        <f t="shared" si="0"/>
        <v>33</v>
      </c>
      <c r="D34" s="3">
        <f t="shared" si="1"/>
        <v>5.5722257671418873</v>
      </c>
      <c r="E34" s="3">
        <f t="shared" si="2"/>
        <v>5.5722257671418873</v>
      </c>
      <c r="F34" s="5">
        <f t="shared" si="3"/>
        <v>0.56064198995706205</v>
      </c>
      <c r="G34" s="5">
        <f t="shared" si="4"/>
        <v>1.1212839799141241</v>
      </c>
      <c r="H34" s="5">
        <f t="shared" si="5"/>
        <v>1.6819259698711861</v>
      </c>
      <c r="I34" s="5">
        <f t="shared" si="6"/>
        <v>2.2425679598282482</v>
      </c>
      <c r="J34" s="5">
        <f t="shared" si="7"/>
        <v>2.8032099497853102</v>
      </c>
    </row>
    <row r="35" spans="2:10" x14ac:dyDescent="0.15">
      <c r="B35" s="2">
        <v>33</v>
      </c>
      <c r="C35" s="2">
        <f t="shared" si="0"/>
        <v>34</v>
      </c>
      <c r="D35" s="3">
        <f t="shared" si="1"/>
        <v>5.6560233379999412</v>
      </c>
      <c r="E35" s="3">
        <f t="shared" si="2"/>
        <v>5.6560233379999412</v>
      </c>
      <c r="F35" s="5">
        <f t="shared" si="3"/>
        <v>0.55267067543393977</v>
      </c>
      <c r="G35" s="5">
        <f t="shared" si="4"/>
        <v>1.1053413508678795</v>
      </c>
      <c r="H35" s="5">
        <f t="shared" si="5"/>
        <v>1.6580120263018192</v>
      </c>
      <c r="I35" s="5">
        <f t="shared" si="6"/>
        <v>2.2106827017357591</v>
      </c>
      <c r="J35" s="5">
        <f t="shared" si="7"/>
        <v>2.763353377169699</v>
      </c>
    </row>
    <row r="36" spans="2:10" x14ac:dyDescent="0.15">
      <c r="B36" s="2">
        <v>34</v>
      </c>
      <c r="C36" s="2">
        <f t="shared" si="0"/>
        <v>35</v>
      </c>
      <c r="D36" s="3">
        <f t="shared" si="1"/>
        <v>5.7385973896066274</v>
      </c>
      <c r="E36" s="3">
        <f t="shared" si="2"/>
        <v>5.7385973896066274</v>
      </c>
      <c r="F36" s="5">
        <f t="shared" si="3"/>
        <v>0.54502943230355672</v>
      </c>
      <c r="G36" s="5">
        <f t="shared" si="4"/>
        <v>1.0900588646071134</v>
      </c>
      <c r="H36" s="5">
        <f t="shared" si="5"/>
        <v>1.6350882969106701</v>
      </c>
      <c r="I36" s="5">
        <f t="shared" si="6"/>
        <v>2.1801177292142269</v>
      </c>
      <c r="J36" s="5">
        <f t="shared" si="7"/>
        <v>2.7251471615177838</v>
      </c>
    </row>
    <row r="37" spans="2:10" x14ac:dyDescent="0.15">
      <c r="B37" s="2">
        <v>35</v>
      </c>
      <c r="C37" s="2">
        <f t="shared" si="0"/>
        <v>36</v>
      </c>
      <c r="D37" s="3">
        <f t="shared" si="1"/>
        <v>5.82</v>
      </c>
      <c r="E37" s="3">
        <f t="shared" si="2"/>
        <v>5.82</v>
      </c>
      <c r="F37" s="5">
        <f t="shared" si="3"/>
        <v>0.53769613075081724</v>
      </c>
      <c r="G37" s="5">
        <f t="shared" si="4"/>
        <v>1.0753922615016345</v>
      </c>
      <c r="H37" s="5">
        <f t="shared" si="5"/>
        <v>1.6130883922524517</v>
      </c>
      <c r="I37" s="10">
        <f t="shared" si="6"/>
        <v>2.1507845230032689</v>
      </c>
      <c r="J37" s="5">
        <f t="shared" si="7"/>
        <v>2.6884806537540862</v>
      </c>
    </row>
    <row r="38" spans="2:10" x14ac:dyDescent="0.15">
      <c r="B38" s="2">
        <v>36</v>
      </c>
      <c r="C38" s="2">
        <f t="shared" si="0"/>
        <v>37</v>
      </c>
      <c r="D38" s="3">
        <f t="shared" si="1"/>
        <v>5.9002796543892728</v>
      </c>
      <c r="E38" s="3">
        <f t="shared" si="2"/>
        <v>5.9002796543892728</v>
      </c>
      <c r="F38" s="5">
        <f t="shared" si="3"/>
        <v>0.53065066038968656</v>
      </c>
      <c r="G38" s="5">
        <f t="shared" si="4"/>
        <v>1.0613013207793731</v>
      </c>
      <c r="H38" s="5">
        <f t="shared" si="5"/>
        <v>1.5919519811690597</v>
      </c>
      <c r="I38" s="5">
        <f t="shared" si="6"/>
        <v>2.1226026415587462</v>
      </c>
      <c r="J38" s="5">
        <f t="shared" si="7"/>
        <v>2.6532533019484328</v>
      </c>
    </row>
    <row r="39" spans="2:10" x14ac:dyDescent="0.15">
      <c r="B39" s="2">
        <v>37</v>
      </c>
      <c r="C39" s="2">
        <f t="shared" si="0"/>
        <v>38</v>
      </c>
      <c r="D39" s="3">
        <f t="shared" si="1"/>
        <v>5.9794815828799068</v>
      </c>
      <c r="E39" s="3">
        <f t="shared" si="2"/>
        <v>5.9794815828799068</v>
      </c>
      <c r="F39" s="5">
        <f t="shared" si="3"/>
        <v>0.5238746997655126</v>
      </c>
      <c r="G39" s="5">
        <f t="shared" si="4"/>
        <v>1.0477493995310252</v>
      </c>
      <c r="H39" s="5">
        <f t="shared" si="5"/>
        <v>1.5716240992965378</v>
      </c>
      <c r="I39" s="5">
        <f t="shared" si="6"/>
        <v>2.0954987990620504</v>
      </c>
      <c r="J39" s="5">
        <f t="shared" si="7"/>
        <v>2.6193734988275628</v>
      </c>
    </row>
    <row r="40" spans="2:10" x14ac:dyDescent="0.15">
      <c r="B40" s="2">
        <v>38</v>
      </c>
      <c r="C40" s="2">
        <f t="shared" si="0"/>
        <v>39</v>
      </c>
      <c r="D40" s="3">
        <f t="shared" si="1"/>
        <v>6.0576480584464463</v>
      </c>
      <c r="E40" s="3">
        <f t="shared" si="2"/>
        <v>6.0576480584464463</v>
      </c>
      <c r="F40" s="5">
        <f t="shared" si="3"/>
        <v>0.51735151715907968</v>
      </c>
      <c r="G40" s="5">
        <f t="shared" si="4"/>
        <v>1.0347030343181594</v>
      </c>
      <c r="H40" s="5">
        <f t="shared" si="5"/>
        <v>1.552054551477239</v>
      </c>
      <c r="I40" s="5">
        <f t="shared" si="6"/>
        <v>2.0694060686363187</v>
      </c>
      <c r="J40" s="5">
        <f t="shared" si="7"/>
        <v>2.5867575857953984</v>
      </c>
    </row>
    <row r="41" spans="2:10" x14ac:dyDescent="0.15">
      <c r="B41" s="2">
        <v>39</v>
      </c>
      <c r="C41" s="2">
        <f t="shared" si="0"/>
        <v>40</v>
      </c>
      <c r="D41" s="3">
        <f t="shared" si="1"/>
        <v>6.1348186607266557</v>
      </c>
      <c r="E41" s="3">
        <f t="shared" si="2"/>
        <v>6.1348186607266557</v>
      </c>
      <c r="F41" s="5">
        <f t="shared" si="3"/>
        <v>0.51106579779925121</v>
      </c>
      <c r="G41" s="5">
        <f t="shared" si="4"/>
        <v>1.0221315955985024</v>
      </c>
      <c r="H41" s="5">
        <f t="shared" si="5"/>
        <v>1.5331973933977536</v>
      </c>
      <c r="I41" s="5">
        <f t="shared" si="6"/>
        <v>2.0442631911970048</v>
      </c>
      <c r="J41" s="5">
        <f t="shared" si="7"/>
        <v>2.5553289889962558</v>
      </c>
    </row>
    <row r="42" spans="2:10" x14ac:dyDescent="0.15">
      <c r="B42" s="2">
        <v>40</v>
      </c>
      <c r="C42" s="2">
        <f t="shared" si="0"/>
        <v>41</v>
      </c>
      <c r="D42" s="3">
        <f t="shared" si="1"/>
        <v>6.2110305103098629</v>
      </c>
      <c r="E42" s="3">
        <f t="shared" si="2"/>
        <v>6.2110305103098629</v>
      </c>
      <c r="F42" s="5">
        <f t="shared" si="3"/>
        <v>0.50500349345118045</v>
      </c>
      <c r="G42" s="5">
        <f t="shared" si="4"/>
        <v>1.0100069869023609</v>
      </c>
      <c r="H42" s="5">
        <f t="shared" si="5"/>
        <v>1.5150104803535414</v>
      </c>
      <c r="I42" s="5">
        <f t="shared" si="6"/>
        <v>2.0200139738047218</v>
      </c>
      <c r="J42" s="5">
        <f t="shared" si="7"/>
        <v>2.5250174672559025</v>
      </c>
    </row>
    <row r="43" spans="2:10" x14ac:dyDescent="0.15">
      <c r="B43" s="2">
        <v>41</v>
      </c>
      <c r="C43" s="2">
        <f t="shared" si="0"/>
        <v>42</v>
      </c>
      <c r="D43" s="3">
        <f t="shared" si="1"/>
        <v>6.286318477455624</v>
      </c>
      <c r="E43" s="3">
        <f t="shared" si="2"/>
        <v>6.286318477455624</v>
      </c>
      <c r="F43" s="5">
        <f t="shared" si="3"/>
        <v>0.49915169104011231</v>
      </c>
      <c r="G43" s="5">
        <f t="shared" si="4"/>
        <v>0.99830338208022462</v>
      </c>
      <c r="H43" s="5">
        <f t="shared" si="5"/>
        <v>1.4974550731203369</v>
      </c>
      <c r="I43" s="5">
        <f t="shared" si="6"/>
        <v>1.9966067641604492</v>
      </c>
      <c r="J43" s="5">
        <f t="shared" si="7"/>
        <v>2.4957584552005616</v>
      </c>
    </row>
    <row r="44" spans="2:10" x14ac:dyDescent="0.15">
      <c r="B44" s="2">
        <v>42</v>
      </c>
      <c r="C44" s="2">
        <f t="shared" si="0"/>
        <v>43</v>
      </c>
      <c r="D44" s="3">
        <f t="shared" si="1"/>
        <v>6.3607153685729401</v>
      </c>
      <c r="E44" s="3">
        <f t="shared" si="2"/>
        <v>6.3607153685729401</v>
      </c>
      <c r="F44" s="5">
        <f t="shared" si="3"/>
        <v>0.49349849753214797</v>
      </c>
      <c r="G44" s="5">
        <f t="shared" si="4"/>
        <v>0.98699699506429595</v>
      </c>
      <c r="H44" s="5">
        <f t="shared" si="5"/>
        <v>1.480495492596444</v>
      </c>
      <c r="I44" s="5">
        <f t="shared" si="6"/>
        <v>1.9739939901285919</v>
      </c>
      <c r="J44" s="5">
        <f t="shared" si="7"/>
        <v>2.4674924876607398</v>
      </c>
    </row>
    <row r="45" spans="2:10" x14ac:dyDescent="0.15">
      <c r="B45" s="2">
        <v>43</v>
      </c>
      <c r="C45" s="2">
        <f t="shared" si="0"/>
        <v>44</v>
      </c>
      <c r="D45" s="3">
        <f t="shared" si="1"/>
        <v>6.4342520932894756</v>
      </c>
      <c r="E45" s="3">
        <f t="shared" si="2"/>
        <v>6.4342520932894756</v>
      </c>
      <c r="F45" s="5">
        <f t="shared" si="3"/>
        <v>0.48803293875030807</v>
      </c>
      <c r="G45" s="5">
        <f t="shared" si="4"/>
        <v>0.97606587750061613</v>
      </c>
      <c r="H45" s="5">
        <f t="shared" si="5"/>
        <v>1.4640988162509241</v>
      </c>
      <c r="I45" s="5">
        <f t="shared" si="6"/>
        <v>1.9521317550012323</v>
      </c>
      <c r="J45" s="5">
        <f t="shared" si="7"/>
        <v>2.4401646937515404</v>
      </c>
    </row>
    <row r="46" spans="2:10" x14ac:dyDescent="0.15">
      <c r="B46" s="2">
        <v>44</v>
      </c>
      <c r="C46" s="2">
        <f t="shared" si="0"/>
        <v>45</v>
      </c>
      <c r="D46" s="3">
        <f t="shared" si="1"/>
        <v>6.5069578145243883</v>
      </c>
      <c r="E46" s="3">
        <f t="shared" si="2"/>
        <v>6.5069578145243883</v>
      </c>
      <c r="F46" s="5">
        <f t="shared" si="3"/>
        <v>0.482744870177992</v>
      </c>
      <c r="G46" s="5">
        <f t="shared" si="4"/>
        <v>0.96548974035598401</v>
      </c>
      <c r="H46" s="5">
        <f t="shared" si="5"/>
        <v>1.4482346105339761</v>
      </c>
      <c r="I46" s="5">
        <f t="shared" si="6"/>
        <v>1.930979480711968</v>
      </c>
      <c r="J46" s="5">
        <f t="shared" si="7"/>
        <v>2.41372435088996</v>
      </c>
    </row>
    <row r="47" spans="2:10" x14ac:dyDescent="0.15">
      <c r="B47" s="2">
        <v>45</v>
      </c>
      <c r="C47" s="2">
        <f t="shared" si="0"/>
        <v>46</v>
      </c>
      <c r="D47" s="3">
        <f t="shared" si="1"/>
        <v>6.5788600836315103</v>
      </c>
      <c r="E47" s="3">
        <f t="shared" si="2"/>
        <v>6.5788600836315103</v>
      </c>
      <c r="F47" s="5">
        <f t="shared" si="3"/>
        <v>0.47762489810903763</v>
      </c>
      <c r="G47" s="5">
        <f t="shared" si="4"/>
        <v>0.95524979621807526</v>
      </c>
      <c r="H47" s="5">
        <f t="shared" si="5"/>
        <v>1.4328746943271129</v>
      </c>
      <c r="I47" s="5">
        <f t="shared" si="6"/>
        <v>1.9104995924361505</v>
      </c>
      <c r="J47" s="5">
        <f t="shared" si="7"/>
        <v>2.3881244905451879</v>
      </c>
    </row>
    <row r="48" spans="2:10" x14ac:dyDescent="0.15">
      <c r="B48" s="2">
        <v>46</v>
      </c>
      <c r="C48" s="2">
        <f t="shared" si="0"/>
        <v>47</v>
      </c>
      <c r="D48" s="3">
        <f t="shared" si="1"/>
        <v>6.6499849623890128</v>
      </c>
      <c r="E48" s="3">
        <f t="shared" si="2"/>
        <v>6.6499849623890128</v>
      </c>
      <c r="F48" s="5">
        <f t="shared" si="3"/>
        <v>0.47266430975703205</v>
      </c>
      <c r="G48" s="5">
        <f t="shared" si="4"/>
        <v>0.94532861951406411</v>
      </c>
      <c r="H48" s="5">
        <f t="shared" si="5"/>
        <v>1.4179929292710962</v>
      </c>
      <c r="I48" s="5">
        <f t="shared" si="6"/>
        <v>1.8906572390281282</v>
      </c>
      <c r="J48" s="5">
        <f t="shared" si="7"/>
        <v>2.3633215487851604</v>
      </c>
    </row>
    <row r="49" spans="2:10" x14ac:dyDescent="0.15">
      <c r="B49" s="2">
        <v>47</v>
      </c>
      <c r="C49" s="2">
        <f t="shared" si="0"/>
        <v>48</v>
      </c>
      <c r="D49" s="3">
        <f t="shared" si="1"/>
        <v>6.7203571333672434</v>
      </c>
      <c r="E49" s="3">
        <f t="shared" si="2"/>
        <v>6.7203571333672434</v>
      </c>
      <c r="F49" s="5">
        <f t="shared" si="3"/>
        <v>0.46785501114655614</v>
      </c>
      <c r="G49" s="10">
        <f t="shared" si="4"/>
        <v>0.93571002229311229</v>
      </c>
      <c r="H49" s="5">
        <f t="shared" si="5"/>
        <v>1.4035650334396683</v>
      </c>
      <c r="I49" s="5">
        <f t="shared" si="6"/>
        <v>1.8714200445862246</v>
      </c>
      <c r="J49" s="5">
        <f t="shared" si="7"/>
        <v>2.3392750557327808</v>
      </c>
    </row>
    <row r="50" spans="2:10" x14ac:dyDescent="0.15">
      <c r="B50" s="2">
        <v>48</v>
      </c>
      <c r="C50" s="2">
        <f t="shared" si="0"/>
        <v>49</v>
      </c>
      <c r="D50" s="3">
        <f t="shared" si="1"/>
        <v>6.79</v>
      </c>
      <c r="E50" s="3">
        <f t="shared" si="2"/>
        <v>6.79</v>
      </c>
      <c r="F50" s="5">
        <f t="shared" si="3"/>
        <v>0.46318947178380543</v>
      </c>
      <c r="G50" s="5">
        <f t="shared" si="4"/>
        <v>0.92637894356761086</v>
      </c>
      <c r="H50" s="5">
        <f t="shared" si="5"/>
        <v>1.3895684153514163</v>
      </c>
      <c r="I50" s="5">
        <f t="shared" si="6"/>
        <v>1.8527578871352217</v>
      </c>
      <c r="J50" s="5">
        <f t="shared" si="7"/>
        <v>2.3159473589190274</v>
      </c>
    </row>
    <row r="51" spans="2:10" x14ac:dyDescent="0.15">
      <c r="B51" s="2">
        <v>49</v>
      </c>
      <c r="C51" s="2">
        <f t="shared" si="0"/>
        <v>50</v>
      </c>
      <c r="D51" s="3">
        <f t="shared" si="1"/>
        <v>6.8589357775095108</v>
      </c>
      <c r="E51" s="3">
        <f t="shared" si="2"/>
        <v>6.8589357775095108</v>
      </c>
      <c r="F51" s="5">
        <f t="shared" si="3"/>
        <v>0.45866067524999232</v>
      </c>
      <c r="G51" s="5">
        <f t="shared" si="4"/>
        <v>0.91732135049998464</v>
      </c>
      <c r="H51" s="5">
        <f t="shared" si="5"/>
        <v>1.3759820257499769</v>
      </c>
      <c r="I51" s="5">
        <f t="shared" si="6"/>
        <v>1.8346427009999693</v>
      </c>
      <c r="J51" s="5">
        <f t="shared" si="7"/>
        <v>2.2933033762499617</v>
      </c>
    </row>
    <row r="52" spans="2:10" x14ac:dyDescent="0.15">
      <c r="B52" s="2">
        <v>50</v>
      </c>
      <c r="C52" s="2">
        <f t="shared" si="0"/>
        <v>51</v>
      </c>
      <c r="D52" s="3">
        <f t="shared" si="1"/>
        <v>6.9271855756865648</v>
      </c>
      <c r="E52" s="3">
        <f t="shared" si="2"/>
        <v>6.9271855756865648</v>
      </c>
      <c r="F52" s="6">
        <f t="shared" si="3"/>
        <v>0.45426207498330096</v>
      </c>
      <c r="G52" s="5">
        <f t="shared" si="4"/>
        <v>0.90852414996660191</v>
      </c>
      <c r="H52" s="5">
        <f t="shared" si="5"/>
        <v>1.362786224949903</v>
      </c>
      <c r="I52" s="5">
        <f t="shared" si="6"/>
        <v>1.8170482999332038</v>
      </c>
      <c r="J52" s="5">
        <f t="shared" si="7"/>
        <v>2.2713103749165047</v>
      </c>
    </row>
    <row r="53" spans="2:10" x14ac:dyDescent="0.15">
      <c r="B53" s="2">
        <v>51</v>
      </c>
      <c r="C53" s="2">
        <f t="shared" si="0"/>
        <v>52</v>
      </c>
      <c r="D53" s="3">
        <f t="shared" si="1"/>
        <v>6.9947694744001385</v>
      </c>
      <c r="E53" s="3">
        <f t="shared" si="2"/>
        <v>6.9947694744001385</v>
      </c>
      <c r="F53" s="5">
        <f t="shared" si="3"/>
        <v>0.44998755461812395</v>
      </c>
      <c r="G53" s="5">
        <f t="shared" si="4"/>
        <v>0.89997510923624791</v>
      </c>
      <c r="H53" s="5">
        <f t="shared" si="5"/>
        <v>1.3499626638543718</v>
      </c>
      <c r="I53" s="5">
        <f t="shared" si="6"/>
        <v>1.7999502184724958</v>
      </c>
      <c r="J53" s="5">
        <f t="shared" si="7"/>
        <v>2.2499377730906196</v>
      </c>
    </row>
    <row r="54" spans="2:10" x14ac:dyDescent="0.15">
      <c r="B54" s="2">
        <v>52</v>
      </c>
      <c r="C54" s="2">
        <f t="shared" si="0"/>
        <v>53</v>
      </c>
      <c r="D54" s="3">
        <f t="shared" si="1"/>
        <v>7.0617065926021025</v>
      </c>
      <c r="E54" s="3">
        <f t="shared" si="2"/>
        <v>7.0617065926021025</v>
      </c>
      <c r="F54" s="5">
        <f t="shared" si="3"/>
        <v>0.44583139233720009</v>
      </c>
      <c r="G54" s="5">
        <f t="shared" si="4"/>
        <v>0.89166278467440019</v>
      </c>
      <c r="H54" s="5">
        <f t="shared" si="5"/>
        <v>1.3374941770116002</v>
      </c>
      <c r="I54" s="5">
        <f t="shared" si="6"/>
        <v>1.7833255693488004</v>
      </c>
      <c r="J54" s="5">
        <f t="shared" si="7"/>
        <v>2.2291569616860003</v>
      </c>
    </row>
    <row r="55" spans="2:10" x14ac:dyDescent="0.15">
      <c r="B55" s="2">
        <v>53</v>
      </c>
      <c r="C55" s="2">
        <f t="shared" si="0"/>
        <v>54</v>
      </c>
      <c r="D55" s="3">
        <f t="shared" si="1"/>
        <v>7.1280151514990484</v>
      </c>
      <c r="E55" s="3">
        <f t="shared" si="2"/>
        <v>7.1280151514990484</v>
      </c>
      <c r="F55" s="5">
        <f t="shared" si="3"/>
        <v>0.44178822876589668</v>
      </c>
      <c r="G55" s="5">
        <f t="shared" si="4"/>
        <v>0.88357645753179337</v>
      </c>
      <c r="H55" s="5">
        <f t="shared" si="5"/>
        <v>1.32536468629769</v>
      </c>
      <c r="I55" s="5">
        <f t="shared" si="6"/>
        <v>1.7671529150635867</v>
      </c>
      <c r="J55" s="5">
        <f t="shared" si="7"/>
        <v>2.2089411438294833</v>
      </c>
    </row>
    <row r="56" spans="2:10" x14ac:dyDescent="0.15">
      <c r="B56" s="2">
        <v>54</v>
      </c>
      <c r="C56" s="2">
        <f t="shared" si="0"/>
        <v>55</v>
      </c>
      <c r="D56" s="3">
        <f t="shared" si="1"/>
        <v>7.1937125324827926</v>
      </c>
      <c r="E56" s="3">
        <f t="shared" si="2"/>
        <v>7.1937125324827926</v>
      </c>
      <c r="F56" s="5">
        <f t="shared" si="3"/>
        <v>0.43785303800040093</v>
      </c>
      <c r="G56" s="5">
        <f t="shared" si="4"/>
        <v>0.87570607600080186</v>
      </c>
      <c r="H56" s="5">
        <f t="shared" si="5"/>
        <v>1.3135591140012028</v>
      </c>
      <c r="I56" s="5">
        <f t="shared" si="6"/>
        <v>1.7514121520016037</v>
      </c>
      <c r="J56" s="5">
        <f t="shared" si="7"/>
        <v>2.1892651900020046</v>
      </c>
    </row>
    <row r="57" spans="2:10" x14ac:dyDescent="0.15">
      <c r="B57" s="2">
        <v>55</v>
      </c>
      <c r="C57" s="2">
        <f t="shared" si="0"/>
        <v>56</v>
      </c>
      <c r="D57" s="3">
        <f t="shared" si="1"/>
        <v>7.258815330341446</v>
      </c>
      <c r="E57" s="3">
        <f t="shared" si="2"/>
        <v>7.258815330341446</v>
      </c>
      <c r="F57" s="5">
        <f t="shared" si="3"/>
        <v>0.43402110141488687</v>
      </c>
      <c r="G57" s="5">
        <f t="shared" si="4"/>
        <v>0.86804220282977373</v>
      </c>
      <c r="H57" s="5">
        <f t="shared" si="5"/>
        <v>1.3020633042446605</v>
      </c>
      <c r="I57" s="5">
        <f t="shared" si="6"/>
        <v>1.7360844056595475</v>
      </c>
      <c r="J57" s="5">
        <f t="shared" si="7"/>
        <v>2.1701055070744344</v>
      </c>
    </row>
    <row r="58" spans="2:10" x14ac:dyDescent="0.15">
      <c r="B58" s="2">
        <v>56</v>
      </c>
      <c r="C58" s="2">
        <f t="shared" si="0"/>
        <v>57</v>
      </c>
      <c r="D58" s="3">
        <f t="shared" si="1"/>
        <v>7.3233394022126275</v>
      </c>
      <c r="E58" s="3">
        <f t="shared" si="2"/>
        <v>7.3233394022126275</v>
      </c>
      <c r="F58" s="5">
        <f t="shared" si="3"/>
        <v>0.43028798393827677</v>
      </c>
      <c r="G58" s="5">
        <f t="shared" si="4"/>
        <v>0.86057596787655355</v>
      </c>
      <c r="H58" s="5">
        <f t="shared" si="5"/>
        <v>1.2908639518148304</v>
      </c>
      <c r="I58" s="5">
        <f t="shared" si="6"/>
        <v>1.7211519357531071</v>
      </c>
      <c r="J58" s="10">
        <f t="shared" si="7"/>
        <v>2.1514399196913838</v>
      </c>
    </row>
    <row r="59" spans="2:10" x14ac:dyDescent="0.15">
      <c r="B59" s="2">
        <v>57</v>
      </c>
      <c r="C59" s="2">
        <f t="shared" si="0"/>
        <v>58</v>
      </c>
      <c r="D59" s="3">
        <f t="shared" si="1"/>
        <v>7.3872999126879915</v>
      </c>
      <c r="E59" s="3">
        <f t="shared" si="2"/>
        <v>7.3872999126879915</v>
      </c>
      <c r="F59" s="5">
        <f t="shared" si="3"/>
        <v>0.42664951253025118</v>
      </c>
      <c r="G59" s="6">
        <f t="shared" si="4"/>
        <v>0.85329902506050237</v>
      </c>
      <c r="H59" s="5">
        <f t="shared" si="5"/>
        <v>1.2799485375907536</v>
      </c>
      <c r="I59" s="5">
        <f t="shared" si="6"/>
        <v>1.7065980501210047</v>
      </c>
      <c r="J59" s="5">
        <f t="shared" si="7"/>
        <v>2.1332475626512561</v>
      </c>
    </row>
    <row r="60" spans="2:10" x14ac:dyDescent="0.15">
      <c r="B60" s="2">
        <v>58</v>
      </c>
      <c r="C60" s="2">
        <f t="shared" si="0"/>
        <v>59</v>
      </c>
      <c r="D60" s="3">
        <f t="shared" si="1"/>
        <v>7.4507113754325491</v>
      </c>
      <c r="E60" s="3">
        <f t="shared" si="2"/>
        <v>7.4507113754325491</v>
      </c>
      <c r="F60" s="5">
        <f t="shared" si="3"/>
        <v>0.42310175661972355</v>
      </c>
      <c r="G60" s="5">
        <f t="shared" si="4"/>
        <v>0.84620351323944709</v>
      </c>
      <c r="H60" s="5">
        <f t="shared" si="5"/>
        <v>1.2693052698591707</v>
      </c>
      <c r="I60" s="5">
        <f t="shared" si="6"/>
        <v>1.6924070264788942</v>
      </c>
      <c r="J60" s="5">
        <f t="shared" si="7"/>
        <v>2.1155087830986177</v>
      </c>
    </row>
    <row r="61" spans="2:10" x14ac:dyDescent="0.15">
      <c r="B61" s="2">
        <v>59</v>
      </c>
      <c r="C61" s="2">
        <f t="shared" si="0"/>
        <v>60</v>
      </c>
      <c r="D61" s="3">
        <f t="shared" si="1"/>
        <v>7.5135876916423889</v>
      </c>
      <c r="E61" s="3">
        <f t="shared" si="2"/>
        <v>7.5135876916423889</v>
      </c>
      <c r="F61" s="5">
        <f t="shared" si="3"/>
        <v>0.41964101029790774</v>
      </c>
      <c r="G61" s="5">
        <f t="shared" si="4"/>
        <v>0.83928202059581547</v>
      </c>
      <c r="H61" s="5">
        <f t="shared" si="5"/>
        <v>1.2589230308937231</v>
      </c>
      <c r="I61" s="5">
        <f t="shared" si="6"/>
        <v>1.6785640411916309</v>
      </c>
      <c r="J61" s="5">
        <f t="shared" si="7"/>
        <v>2.0982050514895385</v>
      </c>
    </row>
    <row r="62" spans="2:10" x14ac:dyDescent="0.15">
      <c r="B62" s="2">
        <v>60</v>
      </c>
      <c r="C62" s="2">
        <f t="shared" si="0"/>
        <v>61</v>
      </c>
      <c r="D62" s="3">
        <f t="shared" si="1"/>
        <v>7.5759421856294544</v>
      </c>
      <c r="E62" s="3">
        <f t="shared" si="2"/>
        <v>7.5759421856294544</v>
      </c>
      <c r="F62" s="5">
        <f t="shared" si="3"/>
        <v>0.41626377608309312</v>
      </c>
      <c r="G62" s="5">
        <f t="shared" si="4"/>
        <v>0.83252755216618624</v>
      </c>
      <c r="H62" s="5">
        <f t="shared" si="5"/>
        <v>1.2487913282492793</v>
      </c>
      <c r="I62" s="5">
        <f t="shared" si="6"/>
        <v>1.6650551043323725</v>
      </c>
      <c r="J62" s="5">
        <f t="shared" si="7"/>
        <v>2.0813188804154654</v>
      </c>
    </row>
    <row r="63" spans="2:10" x14ac:dyDescent="0.15">
      <c r="B63" s="2">
        <v>61</v>
      </c>
      <c r="C63" s="2">
        <f t="shared" si="0"/>
        <v>62</v>
      </c>
      <c r="D63" s="3">
        <f t="shared" si="1"/>
        <v>7.6377876377914564</v>
      </c>
      <c r="E63" s="3">
        <f t="shared" si="2"/>
        <v>7.6377876377914564</v>
      </c>
      <c r="F63" s="5">
        <f t="shared" si="3"/>
        <v>0.41296675009586437</v>
      </c>
      <c r="G63" s="5">
        <f t="shared" si="4"/>
        <v>0.82593350019172873</v>
      </c>
      <c r="H63" s="5">
        <f t="shared" si="5"/>
        <v>1.238900250287593</v>
      </c>
      <c r="I63" s="5">
        <f t="shared" si="6"/>
        <v>1.6518670003834575</v>
      </c>
      <c r="J63" s="5">
        <f t="shared" si="7"/>
        <v>2.0648337504793219</v>
      </c>
    </row>
    <row r="64" spans="2:10" x14ac:dyDescent="0.15">
      <c r="B64" s="2">
        <v>62</v>
      </c>
      <c r="C64" s="2">
        <f t="shared" si="0"/>
        <v>63</v>
      </c>
      <c r="D64" s="3">
        <f t="shared" si="1"/>
        <v>7.6991363151979586</v>
      </c>
      <c r="E64" s="3">
        <f t="shared" si="2"/>
        <v>7.6991363151979586</v>
      </c>
      <c r="F64" s="5">
        <f t="shared" si="3"/>
        <v>0.40974680850229989</v>
      </c>
      <c r="G64" s="5">
        <f t="shared" si="4"/>
        <v>0.81949361700459977</v>
      </c>
      <c r="H64" s="5">
        <f t="shared" si="5"/>
        <v>1.2292404255068996</v>
      </c>
      <c r="I64" s="5">
        <f t="shared" si="6"/>
        <v>1.6389872340091995</v>
      </c>
      <c r="J64" s="5">
        <f t="shared" si="7"/>
        <v>2.0487340425114993</v>
      </c>
    </row>
    <row r="65" spans="2:10" x14ac:dyDescent="0.15">
      <c r="B65" s="2">
        <v>63</v>
      </c>
      <c r="C65" s="2">
        <f t="shared" si="0"/>
        <v>64</v>
      </c>
      <c r="D65" s="3">
        <f t="shared" si="1"/>
        <v>7.76</v>
      </c>
      <c r="E65" s="3">
        <f t="shared" si="2"/>
        <v>7.76</v>
      </c>
      <c r="F65" s="5">
        <f t="shared" si="3"/>
        <v>0.40660099509901138</v>
      </c>
      <c r="G65" s="5">
        <f t="shared" si="4"/>
        <v>0.81320199019802275</v>
      </c>
      <c r="H65" s="5">
        <f t="shared" si="5"/>
        <v>1.2198029852970342</v>
      </c>
      <c r="I65" s="5">
        <f t="shared" si="6"/>
        <v>1.6264039803960455</v>
      </c>
      <c r="J65" s="5">
        <f t="shared" si="7"/>
        <v>2.0330049754950568</v>
      </c>
    </row>
    <row r="66" spans="2:10" x14ac:dyDescent="0.15">
      <c r="B66" s="2">
        <v>64</v>
      </c>
      <c r="C66" s="2">
        <f t="shared" si="0"/>
        <v>65</v>
      </c>
      <c r="D66" s="3">
        <f t="shared" si="1"/>
        <v>7.8203900158495925</v>
      </c>
      <c r="E66" s="3">
        <f t="shared" si="2"/>
        <v>7.8203900158495925</v>
      </c>
      <c r="F66" s="5">
        <f t="shared" si="3"/>
        <v>0.40352650992814493</v>
      </c>
      <c r="G66" s="5">
        <f t="shared" si="4"/>
        <v>0.80705301985628985</v>
      </c>
      <c r="H66" s="5">
        <f t="shared" si="5"/>
        <v>1.2105795297844348</v>
      </c>
      <c r="I66" s="5">
        <f t="shared" si="6"/>
        <v>1.6141060397125797</v>
      </c>
      <c r="J66" s="5">
        <f t="shared" si="7"/>
        <v>2.0176325496407248</v>
      </c>
    </row>
    <row r="67" spans="2:10" x14ac:dyDescent="0.15">
      <c r="B67" s="2">
        <v>65</v>
      </c>
      <c r="C67" s="2">
        <f t="shared" si="0"/>
        <v>66</v>
      </c>
      <c r="D67" s="3">
        <f t="shared" si="1"/>
        <v>7.8803172524968819</v>
      </c>
      <c r="E67" s="3">
        <f t="shared" si="2"/>
        <v>7.8803172524968819</v>
      </c>
      <c r="F67" s="5">
        <f t="shared" si="3"/>
        <v>0.40052069882291497</v>
      </c>
      <c r="G67" s="5">
        <f t="shared" si="4"/>
        <v>0.80104139764582993</v>
      </c>
      <c r="H67" s="5">
        <f t="shared" si="5"/>
        <v>1.201562096468745</v>
      </c>
      <c r="I67" s="5">
        <f t="shared" si="6"/>
        <v>1.6020827952916599</v>
      </c>
      <c r="J67" s="5">
        <f t="shared" si="7"/>
        <v>2.0026034941145747</v>
      </c>
    </row>
    <row r="68" spans="2:10" x14ac:dyDescent="0.15">
      <c r="B68" s="2">
        <v>66</v>
      </c>
      <c r="C68" s="2">
        <f t="shared" ref="C68:C102" si="8">B68+1</f>
        <v>67</v>
      </c>
      <c r="D68" s="3">
        <f t="shared" ref="D68:D102" si="9">C68^0.5*0.97</f>
        <v>7.939792188716277</v>
      </c>
      <c r="E68" s="3">
        <f t="shared" ref="E68:E102" si="10">D68</f>
        <v>7.939792188716277</v>
      </c>
      <c r="F68" s="5">
        <f t="shared" ref="F68:F102" si="11">(1+3*B68)/E68^3</f>
        <v>0.39758104379515197</v>
      </c>
      <c r="G68" s="5">
        <f t="shared" ref="G68:G102" si="12">F68*2</f>
        <v>0.79516208759030393</v>
      </c>
      <c r="H68" s="5">
        <f t="shared" ref="H68:H102" si="13">F68*3</f>
        <v>1.192743131385456</v>
      </c>
      <c r="I68" s="5">
        <f t="shared" ref="I68:I102" si="14">F68*4</f>
        <v>1.5903241751806079</v>
      </c>
      <c r="J68" s="5">
        <f t="shared" ref="J68:J102" si="15">F68*5</f>
        <v>1.9879052189757598</v>
      </c>
    </row>
    <row r="69" spans="2:10" x14ac:dyDescent="0.15">
      <c r="B69" s="2">
        <v>67</v>
      </c>
      <c r="C69" s="2">
        <f t="shared" si="8"/>
        <v>68</v>
      </c>
      <c r="D69" s="3">
        <f t="shared" si="9"/>
        <v>7.998824913698261</v>
      </c>
      <c r="E69" s="3">
        <f t="shared" si="10"/>
        <v>7.998824913698261</v>
      </c>
      <c r="F69" s="5">
        <f t="shared" si="11"/>
        <v>0.39470515418591118</v>
      </c>
      <c r="G69" s="5">
        <f t="shared" si="12"/>
        <v>0.78941030837182236</v>
      </c>
      <c r="H69" s="5">
        <f t="shared" si="13"/>
        <v>1.1841154625577335</v>
      </c>
      <c r="I69" s="5">
        <f t="shared" si="14"/>
        <v>1.5788206167436447</v>
      </c>
      <c r="J69" s="5">
        <f t="shared" si="15"/>
        <v>1.9735257709295559</v>
      </c>
    </row>
    <row r="70" spans="2:10" x14ac:dyDescent="0.15">
      <c r="B70" s="2">
        <v>68</v>
      </c>
      <c r="C70" s="2">
        <f t="shared" si="8"/>
        <v>69</v>
      </c>
      <c r="D70" s="3">
        <f t="shared" si="9"/>
        <v>8.057425147030532</v>
      </c>
      <c r="E70" s="3">
        <f t="shared" si="10"/>
        <v>8.057425147030532</v>
      </c>
      <c r="F70" s="5">
        <f t="shared" si="11"/>
        <v>0.39189075850861027</v>
      </c>
      <c r="G70" s="5">
        <f t="shared" si="12"/>
        <v>0.78378151701722054</v>
      </c>
      <c r="H70" s="5">
        <f t="shared" si="13"/>
        <v>1.1756722755258309</v>
      </c>
      <c r="I70" s="5">
        <f t="shared" si="14"/>
        <v>1.5675630340344411</v>
      </c>
      <c r="J70" s="5">
        <f t="shared" si="15"/>
        <v>1.9594537925430513</v>
      </c>
    </row>
    <row r="71" spans="2:10" x14ac:dyDescent="0.15">
      <c r="B71" s="2">
        <v>69</v>
      </c>
      <c r="C71" s="2">
        <f t="shared" si="8"/>
        <v>70</v>
      </c>
      <c r="D71" s="3">
        <f t="shared" si="9"/>
        <v>8.115602257380532</v>
      </c>
      <c r="E71" s="3">
        <f t="shared" si="10"/>
        <v>8.115602257380532</v>
      </c>
      <c r="F71" s="5">
        <f t="shared" si="11"/>
        <v>0.38913569692157612</v>
      </c>
      <c r="G71" s="5">
        <f t="shared" si="12"/>
        <v>0.77827139384315225</v>
      </c>
      <c r="H71" s="5">
        <f t="shared" si="13"/>
        <v>1.1674070907647285</v>
      </c>
      <c r="I71" s="5">
        <f t="shared" si="14"/>
        <v>1.5565427876863045</v>
      </c>
      <c r="J71" s="5">
        <f t="shared" si="15"/>
        <v>1.9456784846078805</v>
      </c>
    </row>
    <row r="72" spans="2:10" x14ac:dyDescent="0.15">
      <c r="B72" s="2">
        <v>70</v>
      </c>
      <c r="C72" s="2">
        <f t="shared" si="8"/>
        <v>71</v>
      </c>
      <c r="D72" s="3">
        <f t="shared" si="9"/>
        <v>8.1733652799810681</v>
      </c>
      <c r="E72" s="3">
        <f t="shared" si="10"/>
        <v>8.1733652799810681</v>
      </c>
      <c r="F72" s="5">
        <f t="shared" si="11"/>
        <v>0.38643791427342133</v>
      </c>
      <c r="G72" s="5">
        <f t="shared" si="12"/>
        <v>0.77287582854684267</v>
      </c>
      <c r="H72" s="5">
        <f t="shared" si="13"/>
        <v>1.159313742820264</v>
      </c>
      <c r="I72" s="5">
        <f t="shared" si="14"/>
        <v>1.5457516570936853</v>
      </c>
      <c r="J72" s="5">
        <f t="shared" si="15"/>
        <v>1.9321895713671067</v>
      </c>
    </row>
    <row r="73" spans="2:10" x14ac:dyDescent="0.15">
      <c r="B73" s="2">
        <v>71</v>
      </c>
      <c r="C73" s="2">
        <f t="shared" si="8"/>
        <v>72</v>
      </c>
      <c r="D73" s="3">
        <f t="shared" si="9"/>
        <v>8.2307229330114122</v>
      </c>
      <c r="E73" s="3">
        <f t="shared" si="10"/>
        <v>8.2307229330114122</v>
      </c>
      <c r="F73" s="5">
        <f t="shared" si="11"/>
        <v>0.38379545367046097</v>
      </c>
      <c r="G73" s="5">
        <f t="shared" si="12"/>
        <v>0.76759090734092195</v>
      </c>
      <c r="H73" s="5">
        <f t="shared" si="13"/>
        <v>1.151386361011383</v>
      </c>
      <c r="I73" s="5">
        <f t="shared" si="14"/>
        <v>1.5351818146818439</v>
      </c>
      <c r="J73" s="5">
        <f t="shared" si="15"/>
        <v>1.9189772683523048</v>
      </c>
    </row>
    <row r="74" spans="2:10" x14ac:dyDescent="0.15">
      <c r="B74" s="2">
        <v>72</v>
      </c>
      <c r="C74" s="2">
        <f t="shared" si="8"/>
        <v>73</v>
      </c>
      <c r="D74" s="3">
        <f t="shared" si="9"/>
        <v>8.2876836329580037</v>
      </c>
      <c r="E74" s="3">
        <f t="shared" si="10"/>
        <v>8.2876836329580037</v>
      </c>
      <c r="F74" s="5">
        <f t="shared" si="11"/>
        <v>0.38120645052049873</v>
      </c>
      <c r="G74" s="5">
        <f t="shared" si="12"/>
        <v>0.76241290104099746</v>
      </c>
      <c r="H74" s="5">
        <f t="shared" si="13"/>
        <v>1.1436193515614961</v>
      </c>
      <c r="I74" s="5">
        <f t="shared" si="14"/>
        <v>1.5248258020819949</v>
      </c>
      <c r="J74" s="5">
        <f t="shared" si="15"/>
        <v>1.9060322526024938</v>
      </c>
    </row>
    <row r="75" spans="2:10" x14ac:dyDescent="0.15">
      <c r="B75" s="2">
        <v>73</v>
      </c>
      <c r="C75" s="2">
        <f t="shared" si="8"/>
        <v>74</v>
      </c>
      <c r="D75" s="3">
        <f t="shared" si="9"/>
        <v>8.3442555090313473</v>
      </c>
      <c r="E75" s="3">
        <f t="shared" si="10"/>
        <v>8.3442555090313473</v>
      </c>
      <c r="F75" s="5">
        <f t="shared" si="11"/>
        <v>0.37866912701186595</v>
      </c>
      <c r="G75" s="5">
        <f t="shared" si="12"/>
        <v>0.75733825402373189</v>
      </c>
      <c r="H75" s="5">
        <f t="shared" si="13"/>
        <v>1.136007381035598</v>
      </c>
      <c r="I75" s="5">
        <f t="shared" si="14"/>
        <v>1.5146765080474638</v>
      </c>
      <c r="J75" s="5">
        <f t="shared" si="15"/>
        <v>1.8933456350593296</v>
      </c>
    </row>
    <row r="76" spans="2:10" x14ac:dyDescent="0.15">
      <c r="B76" s="2">
        <v>74</v>
      </c>
      <c r="C76" s="2">
        <f t="shared" si="8"/>
        <v>75</v>
      </c>
      <c r="D76" s="3">
        <f t="shared" si="9"/>
        <v>8.4004464167090553</v>
      </c>
      <c r="E76" s="3">
        <f t="shared" si="10"/>
        <v>8.4004464167090553</v>
      </c>
      <c r="F76" s="5">
        <f t="shared" si="11"/>
        <v>0.37618178699062799</v>
      </c>
      <c r="G76" s="5">
        <f t="shared" si="12"/>
        <v>0.75236357398125597</v>
      </c>
      <c r="H76" s="5">
        <f t="shared" si="13"/>
        <v>1.1285453609718838</v>
      </c>
      <c r="I76" s="5">
        <f t="shared" si="14"/>
        <v>1.5047271479625119</v>
      </c>
      <c r="J76" s="5">
        <f t="shared" si="15"/>
        <v>1.88090893495314</v>
      </c>
    </row>
    <row r="77" spans="2:10" x14ac:dyDescent="0.15">
      <c r="B77" s="2">
        <v>75</v>
      </c>
      <c r="C77" s="2">
        <f t="shared" si="8"/>
        <v>76</v>
      </c>
      <c r="D77" s="3">
        <f t="shared" si="9"/>
        <v>8.456263950468907</v>
      </c>
      <c r="E77" s="3">
        <f t="shared" si="10"/>
        <v>8.456263950468907</v>
      </c>
      <c r="F77" s="5">
        <f t="shared" si="11"/>
        <v>0.3737428112024771</v>
      </c>
      <c r="G77" s="5">
        <f t="shared" si="12"/>
        <v>0.7474856224049542</v>
      </c>
      <c r="H77" s="5">
        <f t="shared" si="13"/>
        <v>1.1212284336074312</v>
      </c>
      <c r="I77" s="5">
        <f t="shared" si="14"/>
        <v>1.4949712448099084</v>
      </c>
      <c r="J77" s="5">
        <f t="shared" si="15"/>
        <v>1.8687140560123856</v>
      </c>
    </row>
    <row r="78" spans="2:10" x14ac:dyDescent="0.15">
      <c r="B78" s="2">
        <v>76</v>
      </c>
      <c r="C78" s="2">
        <f t="shared" si="8"/>
        <v>77</v>
      </c>
      <c r="D78" s="3">
        <f t="shared" si="9"/>
        <v>8.5117154557703589</v>
      </c>
      <c r="E78" s="3">
        <f t="shared" si="10"/>
        <v>8.5117154557703589</v>
      </c>
      <c r="F78" s="5">
        <f t="shared" si="11"/>
        <v>0.37135065286902996</v>
      </c>
      <c r="G78" s="5">
        <f t="shared" si="12"/>
        <v>0.74270130573805992</v>
      </c>
      <c r="H78" s="5">
        <f t="shared" si="13"/>
        <v>1.1140519586070898</v>
      </c>
      <c r="I78" s="5">
        <f t="shared" si="14"/>
        <v>1.4854026114761198</v>
      </c>
      <c r="J78" s="5">
        <f t="shared" si="15"/>
        <v>1.8567532643451499</v>
      </c>
    </row>
    <row r="79" spans="2:10" x14ac:dyDescent="0.15">
      <c r="B79" s="2">
        <v>77</v>
      </c>
      <c r="C79" s="2">
        <f t="shared" si="8"/>
        <v>78</v>
      </c>
      <c r="D79" s="3">
        <f t="shared" si="9"/>
        <v>8.566808040338012</v>
      </c>
      <c r="E79" s="3">
        <f t="shared" si="10"/>
        <v>8.566808040338012</v>
      </c>
      <c r="F79" s="5">
        <f t="shared" si="11"/>
        <v>0.36900383357111921</v>
      </c>
      <c r="G79" s="5">
        <f t="shared" si="12"/>
        <v>0.73800766714223842</v>
      </c>
      <c r="H79" s="5">
        <f t="shared" si="13"/>
        <v>1.1070115007133576</v>
      </c>
      <c r="I79" s="5">
        <f t="shared" si="14"/>
        <v>1.4760153342844768</v>
      </c>
      <c r="J79" s="5">
        <f t="shared" si="15"/>
        <v>1.8450191678555961</v>
      </c>
    </row>
    <row r="80" spans="2:10" x14ac:dyDescent="0.15">
      <c r="B80" s="2">
        <v>78</v>
      </c>
      <c r="C80" s="2">
        <f t="shared" si="8"/>
        <v>79</v>
      </c>
      <c r="D80" s="3">
        <f t="shared" si="9"/>
        <v>8.6215485847961215</v>
      </c>
      <c r="E80" s="3">
        <f t="shared" si="10"/>
        <v>8.6215485847961215</v>
      </c>
      <c r="F80" s="5">
        <f t="shared" si="11"/>
        <v>0.36670093941422</v>
      </c>
      <c r="G80" s="5">
        <f t="shared" si="12"/>
        <v>0.73340187882843999</v>
      </c>
      <c r="H80" s="5">
        <f t="shared" si="13"/>
        <v>1.10010281824266</v>
      </c>
      <c r="I80" s="5">
        <f t="shared" si="14"/>
        <v>1.46680375765688</v>
      </c>
      <c r="J80" s="5">
        <f t="shared" si="15"/>
        <v>1.8335046970711</v>
      </c>
    </row>
    <row r="81" spans="2:10" x14ac:dyDescent="0.15">
      <c r="B81" s="2">
        <v>79</v>
      </c>
      <c r="C81" s="2">
        <f t="shared" si="8"/>
        <v>80</v>
      </c>
      <c r="D81" s="3">
        <f t="shared" si="9"/>
        <v>8.6759437526991849</v>
      </c>
      <c r="E81" s="3">
        <f t="shared" si="10"/>
        <v>8.6759437526991849</v>
      </c>
      <c r="F81" s="5">
        <f t="shared" si="11"/>
        <v>0.36444061745345108</v>
      </c>
      <c r="G81" s="5">
        <f t="shared" si="12"/>
        <v>0.72888123490690215</v>
      </c>
      <c r="H81" s="5">
        <f t="shared" si="13"/>
        <v>1.0933218523603532</v>
      </c>
      <c r="I81" s="5">
        <f t="shared" si="14"/>
        <v>1.4577624698138043</v>
      </c>
      <c r="J81" s="5">
        <f t="shared" si="15"/>
        <v>1.8222030872672554</v>
      </c>
    </row>
    <row r="82" spans="2:10" x14ac:dyDescent="0.15">
      <c r="B82" s="2">
        <v>80</v>
      </c>
      <c r="C82" s="2">
        <f t="shared" si="8"/>
        <v>81</v>
      </c>
      <c r="D82" s="3">
        <f t="shared" si="9"/>
        <v>8.73</v>
      </c>
      <c r="E82" s="3">
        <f t="shared" si="10"/>
        <v>8.73</v>
      </c>
      <c r="F82" s="5">
        <f t="shared" si="11"/>
        <v>0.36222157235764352</v>
      </c>
      <c r="G82" s="5">
        <f t="shared" si="12"/>
        <v>0.72444314471528704</v>
      </c>
      <c r="H82" s="5">
        <f t="shared" si="13"/>
        <v>1.0866647170729307</v>
      </c>
      <c r="I82" s="5">
        <f t="shared" si="14"/>
        <v>1.4488862894305741</v>
      </c>
      <c r="J82" s="5">
        <f t="shared" si="15"/>
        <v>1.8111078617882175</v>
      </c>
    </row>
    <row r="83" spans="2:10" x14ac:dyDescent="0.15">
      <c r="B83" s="2">
        <v>81</v>
      </c>
      <c r="C83" s="2">
        <f t="shared" si="8"/>
        <v>82</v>
      </c>
      <c r="D83" s="3">
        <f t="shared" si="9"/>
        <v>8.7837235839932948</v>
      </c>
      <c r="E83" s="3">
        <f t="shared" si="10"/>
        <v>8.7837235839932948</v>
      </c>
      <c r="F83" s="5">
        <f t="shared" si="11"/>
        <v>0.3600425632938144</v>
      </c>
      <c r="G83" s="5">
        <f t="shared" si="12"/>
        <v>0.7200851265876288</v>
      </c>
      <c r="H83" s="5">
        <f t="shared" si="13"/>
        <v>1.0801276898814431</v>
      </c>
      <c r="I83" s="5">
        <f t="shared" si="14"/>
        <v>1.4401702531752576</v>
      </c>
      <c r="J83" s="5">
        <f t="shared" si="15"/>
        <v>1.8002128164690721</v>
      </c>
    </row>
    <row r="84" spans="2:10" x14ac:dyDescent="0.15">
      <c r="B84" s="2">
        <v>82</v>
      </c>
      <c r="C84" s="2">
        <f t="shared" si="8"/>
        <v>83</v>
      </c>
      <c r="D84" s="3">
        <f t="shared" si="9"/>
        <v>8.8371205717699706</v>
      </c>
      <c r="E84" s="3">
        <f t="shared" si="10"/>
        <v>8.8371205717699706</v>
      </c>
      <c r="F84" s="5">
        <f t="shared" si="11"/>
        <v>0.35790240101504983</v>
      </c>
      <c r="G84" s="5">
        <f t="shared" si="12"/>
        <v>0.71580480203009966</v>
      </c>
      <c r="H84" s="5">
        <f t="shared" si="13"/>
        <v>1.0737072030451495</v>
      </c>
      <c r="I84" s="5">
        <f t="shared" si="14"/>
        <v>1.4316096040601993</v>
      </c>
      <c r="J84" s="5">
        <f t="shared" si="15"/>
        <v>1.7895120050752491</v>
      </c>
    </row>
    <row r="85" spans="2:10" x14ac:dyDescent="0.15">
      <c r="B85" s="2">
        <v>83</v>
      </c>
      <c r="C85" s="2">
        <f t="shared" si="8"/>
        <v>84</v>
      </c>
      <c r="D85" s="3">
        <f t="shared" si="9"/>
        <v>8.8901968482143285</v>
      </c>
      <c r="E85" s="3">
        <f t="shared" si="10"/>
        <v>8.8901968482143285</v>
      </c>
      <c r="F85" s="5">
        <f t="shared" si="11"/>
        <v>0.35579994513628621</v>
      </c>
      <c r="G85" s="5">
        <f t="shared" si="12"/>
        <v>0.71159989027257242</v>
      </c>
      <c r="H85" s="5">
        <f t="shared" si="13"/>
        <v>1.0673998354088585</v>
      </c>
      <c r="I85" s="5">
        <f t="shared" si="14"/>
        <v>1.4231997805451448</v>
      </c>
      <c r="J85" s="5">
        <f t="shared" si="15"/>
        <v>1.7789997256814312</v>
      </c>
    </row>
    <row r="86" spans="2:10" x14ac:dyDescent="0.15">
      <c r="B86" s="2">
        <v>84</v>
      </c>
      <c r="C86" s="2">
        <f t="shared" si="8"/>
        <v>85</v>
      </c>
      <c r="D86" s="3">
        <f t="shared" si="9"/>
        <v>8.9429581235740994</v>
      </c>
      <c r="E86" s="3">
        <f t="shared" si="10"/>
        <v>8.9429581235740994</v>
      </c>
      <c r="F86" s="5">
        <f t="shared" si="11"/>
        <v>0.35373410158383534</v>
      </c>
      <c r="G86" s="5">
        <f t="shared" si="12"/>
        <v>0.70746820316767067</v>
      </c>
      <c r="H86" s="5">
        <f t="shared" si="13"/>
        <v>1.061202304751506</v>
      </c>
      <c r="I86" s="5">
        <f t="shared" si="14"/>
        <v>1.4149364063353413</v>
      </c>
      <c r="J86" s="5">
        <f t="shared" si="15"/>
        <v>1.7686705079191767</v>
      </c>
    </row>
    <row r="87" spans="2:10" x14ac:dyDescent="0.15">
      <c r="B87" s="2">
        <v>85</v>
      </c>
      <c r="C87" s="2">
        <f t="shared" si="8"/>
        <v>86</v>
      </c>
      <c r="D87" s="3">
        <f t="shared" si="9"/>
        <v>8.9954099406308323</v>
      </c>
      <c r="E87" s="3">
        <f t="shared" si="10"/>
        <v>8.9954099406308323</v>
      </c>
      <c r="F87" s="5">
        <f t="shared" si="11"/>
        <v>0.35170382020571156</v>
      </c>
      <c r="G87" s="5">
        <f t="shared" si="12"/>
        <v>0.70340764041142312</v>
      </c>
      <c r="H87" s="5">
        <f t="shared" si="13"/>
        <v>1.0551114606171348</v>
      </c>
      <c r="I87" s="5">
        <f t="shared" si="14"/>
        <v>1.4068152808228462</v>
      </c>
      <c r="J87" s="5">
        <f t="shared" si="15"/>
        <v>1.7585191010285577</v>
      </c>
    </row>
    <row r="88" spans="2:10" x14ac:dyDescent="0.15">
      <c r="B88" s="2">
        <v>86</v>
      </c>
      <c r="C88" s="2">
        <f t="shared" si="8"/>
        <v>87</v>
      </c>
      <c r="D88" s="3">
        <f t="shared" si="9"/>
        <v>9.0475576814961514</v>
      </c>
      <c r="E88" s="3">
        <f t="shared" si="10"/>
        <v>9.0475576814961514</v>
      </c>
      <c r="F88" s="5">
        <f t="shared" si="11"/>
        <v>0.34970809253091728</v>
      </c>
      <c r="G88" s="5">
        <f t="shared" si="12"/>
        <v>0.69941618506183456</v>
      </c>
      <c r="H88" s="5">
        <f t="shared" si="13"/>
        <v>1.0491242775927518</v>
      </c>
      <c r="I88" s="5">
        <f t="shared" si="14"/>
        <v>1.3988323701236691</v>
      </c>
      <c r="J88" s="5">
        <f t="shared" si="15"/>
        <v>1.7485404626545864</v>
      </c>
    </row>
    <row r="89" spans="2:10" x14ac:dyDescent="0.15">
      <c r="B89" s="2">
        <v>87</v>
      </c>
      <c r="C89" s="2">
        <f t="shared" si="8"/>
        <v>88</v>
      </c>
      <c r="D89" s="3">
        <f t="shared" si="9"/>
        <v>9.0994065740574541</v>
      </c>
      <c r="E89" s="3">
        <f t="shared" si="10"/>
        <v>9.0994065740574541</v>
      </c>
      <c r="F89" s="5">
        <f t="shared" si="11"/>
        <v>0.34774594966683975</v>
      </c>
      <c r="G89" s="5">
        <f t="shared" si="12"/>
        <v>0.6954918993336795</v>
      </c>
      <c r="H89" s="5">
        <f t="shared" si="13"/>
        <v>1.0432378490005192</v>
      </c>
      <c r="I89" s="5">
        <f t="shared" si="14"/>
        <v>1.390983798667359</v>
      </c>
      <c r="J89" s="5">
        <f t="shared" si="15"/>
        <v>1.7387297483341988</v>
      </c>
    </row>
    <row r="90" spans="2:10" x14ac:dyDescent="0.15">
      <c r="B90" s="2">
        <v>88</v>
      </c>
      <c r="C90" s="2">
        <f t="shared" si="8"/>
        <v>89</v>
      </c>
      <c r="D90" s="3">
        <f t="shared" si="9"/>
        <v>9.1509616980949051</v>
      </c>
      <c r="E90" s="3">
        <f t="shared" si="10"/>
        <v>9.1509616980949051</v>
      </c>
      <c r="F90" s="5">
        <f t="shared" si="11"/>
        <v>0.34581646032481361</v>
      </c>
      <c r="G90" s="5">
        <f t="shared" si="12"/>
        <v>0.69163292064962723</v>
      </c>
      <c r="H90" s="5">
        <f t="shared" si="13"/>
        <v>1.0374493809744409</v>
      </c>
      <c r="I90" s="5">
        <f t="shared" si="14"/>
        <v>1.3832658412992545</v>
      </c>
      <c r="J90" s="5">
        <f t="shared" si="15"/>
        <v>1.729082301624068</v>
      </c>
    </row>
    <row r="91" spans="2:10" x14ac:dyDescent="0.15">
      <c r="B91" s="2">
        <v>89</v>
      </c>
      <c r="C91" s="2">
        <f t="shared" si="8"/>
        <v>90</v>
      </c>
      <c r="D91" s="3">
        <f t="shared" si="9"/>
        <v>9.202227991089984</v>
      </c>
      <c r="E91" s="3">
        <f t="shared" si="10"/>
        <v>9.202227991089984</v>
      </c>
      <c r="F91" s="5">
        <f t="shared" si="11"/>
        <v>0.34391872896471892</v>
      </c>
      <c r="G91" s="5">
        <f t="shared" si="12"/>
        <v>0.68783745792943785</v>
      </c>
      <c r="H91" s="5">
        <f t="shared" si="13"/>
        <v>1.0317561868941567</v>
      </c>
      <c r="I91" s="5">
        <f t="shared" si="14"/>
        <v>1.3756749158588757</v>
      </c>
      <c r="J91" s="5">
        <f t="shared" si="15"/>
        <v>1.7195936448235947</v>
      </c>
    </row>
    <row r="92" spans="2:10" x14ac:dyDescent="0.15">
      <c r="B92" s="2">
        <v>90</v>
      </c>
      <c r="C92" s="2">
        <f t="shared" si="8"/>
        <v>91</v>
      </c>
      <c r="D92" s="3">
        <f t="shared" si="9"/>
        <v>9.2532102537443723</v>
      </c>
      <c r="E92" s="3">
        <f t="shared" si="10"/>
        <v>9.2532102537443723</v>
      </c>
      <c r="F92" s="5">
        <f t="shared" si="11"/>
        <v>0.34205189405022979</v>
      </c>
      <c r="G92" s="5">
        <f t="shared" si="12"/>
        <v>0.68410378810045958</v>
      </c>
      <c r="H92" s="5">
        <f t="shared" si="13"/>
        <v>1.0261556821506894</v>
      </c>
      <c r="I92" s="5">
        <f t="shared" si="14"/>
        <v>1.3682075762009192</v>
      </c>
      <c r="J92" s="5">
        <f t="shared" si="15"/>
        <v>1.7102594702511489</v>
      </c>
    </row>
    <row r="93" spans="2:10" x14ac:dyDescent="0.15">
      <c r="B93" s="2">
        <v>91</v>
      </c>
      <c r="C93" s="2">
        <f t="shared" si="8"/>
        <v>92</v>
      </c>
      <c r="D93" s="3">
        <f t="shared" si="9"/>
        <v>9.3039131552266756</v>
      </c>
      <c r="E93" s="3">
        <f t="shared" si="10"/>
        <v>9.3039131552266756</v>
      </c>
      <c r="F93" s="5">
        <f t="shared" si="11"/>
        <v>0.34021512640699642</v>
      </c>
      <c r="G93" s="5">
        <f t="shared" si="12"/>
        <v>0.68043025281399283</v>
      </c>
      <c r="H93" s="5">
        <f t="shared" si="13"/>
        <v>1.0206453792209893</v>
      </c>
      <c r="I93" s="5">
        <f t="shared" si="14"/>
        <v>1.3608605056279857</v>
      </c>
      <c r="J93" s="5">
        <f t="shared" si="15"/>
        <v>1.701075632034982</v>
      </c>
    </row>
    <row r="94" spans="2:10" x14ac:dyDescent="0.15">
      <c r="B94" s="2">
        <v>92</v>
      </c>
      <c r="C94" s="2">
        <f t="shared" si="8"/>
        <v>93</v>
      </c>
      <c r="D94" s="3">
        <f t="shared" si="9"/>
        <v>9.3543412381631654</v>
      </c>
      <c r="E94" s="3">
        <f t="shared" si="10"/>
        <v>9.3543412381631654</v>
      </c>
      <c r="F94" s="5">
        <f t="shared" si="11"/>
        <v>0.33840762767666638</v>
      </c>
      <c r="G94" s="5">
        <f t="shared" si="12"/>
        <v>0.67681525535333276</v>
      </c>
      <c r="H94" s="5">
        <f t="shared" si="13"/>
        <v>1.0152228830299992</v>
      </c>
      <c r="I94" s="5">
        <f t="shared" si="14"/>
        <v>1.3536305107066655</v>
      </c>
      <c r="J94" s="5">
        <f t="shared" si="15"/>
        <v>1.6920381383833318</v>
      </c>
    </row>
    <row r="95" spans="2:10" x14ac:dyDescent="0.15">
      <c r="B95" s="2">
        <v>93</v>
      </c>
      <c r="C95" s="2">
        <f t="shared" si="8"/>
        <v>94</v>
      </c>
      <c r="D95" s="3">
        <f t="shared" si="9"/>
        <v>9.4044989233876795</v>
      </c>
      <c r="E95" s="3">
        <f t="shared" si="10"/>
        <v>9.4044989233876795</v>
      </c>
      <c r="F95" s="5">
        <f t="shared" si="11"/>
        <v>0.33662862886020029</v>
      </c>
      <c r="G95" s="5">
        <f t="shared" si="12"/>
        <v>0.67325725772040057</v>
      </c>
      <c r="H95" s="5">
        <f t="shared" si="13"/>
        <v>1.0098858865806009</v>
      </c>
      <c r="I95" s="5">
        <f t="shared" si="14"/>
        <v>1.3465145154408011</v>
      </c>
      <c r="J95" s="5">
        <f t="shared" si="15"/>
        <v>1.6831431443010014</v>
      </c>
    </row>
    <row r="96" spans="2:10" x14ac:dyDescent="0.15">
      <c r="B96" s="2">
        <v>94</v>
      </c>
      <c r="C96" s="2">
        <f t="shared" si="8"/>
        <v>95</v>
      </c>
      <c r="D96" s="3">
        <f t="shared" si="9"/>
        <v>9.4543905144646931</v>
      </c>
      <c r="E96" s="3">
        <f t="shared" si="10"/>
        <v>9.4543905144646931</v>
      </c>
      <c r="F96" s="5">
        <f t="shared" si="11"/>
        <v>0.33487738894445651</v>
      </c>
      <c r="G96" s="5">
        <f t="shared" si="12"/>
        <v>0.66975477788891302</v>
      </c>
      <c r="H96" s="5">
        <f t="shared" si="13"/>
        <v>1.0046321668333695</v>
      </c>
      <c r="I96" s="5">
        <f t="shared" si="14"/>
        <v>1.339509555777826</v>
      </c>
      <c r="J96" s="5">
        <f t="shared" si="15"/>
        <v>1.6743869447222826</v>
      </c>
    </row>
    <row r="97" spans="2:10" x14ac:dyDescent="0.15">
      <c r="B97" s="2">
        <v>95</v>
      </c>
      <c r="C97" s="2">
        <f t="shared" si="8"/>
        <v>96</v>
      </c>
      <c r="D97" s="3">
        <f t="shared" si="9"/>
        <v>9.5040202019987294</v>
      </c>
      <c r="E97" s="3">
        <f t="shared" si="10"/>
        <v>9.5040202019987294</v>
      </c>
      <c r="F97" s="5">
        <f t="shared" si="11"/>
        <v>0.33315319360647039</v>
      </c>
      <c r="G97" s="5">
        <f t="shared" si="12"/>
        <v>0.66630638721294078</v>
      </c>
      <c r="H97" s="5">
        <f t="shared" si="13"/>
        <v>0.99945958081941111</v>
      </c>
      <c r="I97" s="5">
        <f t="shared" si="14"/>
        <v>1.3326127744258816</v>
      </c>
      <c r="J97" s="5">
        <f t="shared" si="15"/>
        <v>1.665765968032352</v>
      </c>
    </row>
    <row r="98" spans="2:10" x14ac:dyDescent="0.15">
      <c r="B98" s="2">
        <v>96</v>
      </c>
      <c r="C98" s="2">
        <f t="shared" si="8"/>
        <v>97</v>
      </c>
      <c r="D98" s="3">
        <f t="shared" si="9"/>
        <v>9.5533920677422213</v>
      </c>
      <c r="E98" s="3">
        <f t="shared" si="10"/>
        <v>9.5533920677422213</v>
      </c>
      <c r="F98" s="5">
        <f t="shared" si="11"/>
        <v>0.33145535399029835</v>
      </c>
      <c r="G98" s="5">
        <f t="shared" si="12"/>
        <v>0.6629107079805967</v>
      </c>
      <c r="H98" s="5">
        <f t="shared" si="13"/>
        <v>0.99436606197089505</v>
      </c>
      <c r="I98" s="5">
        <f t="shared" si="14"/>
        <v>1.3258214159611934</v>
      </c>
      <c r="J98" s="5">
        <f t="shared" si="15"/>
        <v>1.6572767699514919</v>
      </c>
    </row>
    <row r="99" spans="2:10" x14ac:dyDescent="0.15">
      <c r="B99" s="2">
        <v>97</v>
      </c>
      <c r="C99" s="2">
        <f t="shared" si="8"/>
        <v>98</v>
      </c>
      <c r="D99" s="3">
        <f t="shared" si="9"/>
        <v>9.6025100885133146</v>
      </c>
      <c r="E99" s="3">
        <f t="shared" si="10"/>
        <v>9.6025100885133146</v>
      </c>
      <c r="F99" s="5">
        <f t="shared" si="11"/>
        <v>0.3297832055516649</v>
      </c>
      <c r="G99" s="5">
        <f t="shared" si="12"/>
        <v>0.65956641110332981</v>
      </c>
      <c r="H99" s="5">
        <f t="shared" si="13"/>
        <v>0.98934961665499466</v>
      </c>
      <c r="I99" s="5">
        <f t="shared" si="14"/>
        <v>1.3191328222066596</v>
      </c>
      <c r="J99" s="5">
        <f t="shared" si="15"/>
        <v>1.6489160277583246</v>
      </c>
    </row>
    <row r="100" spans="2:10" x14ac:dyDescent="0.15">
      <c r="B100" s="2">
        <v>98</v>
      </c>
      <c r="C100" s="2">
        <f t="shared" si="8"/>
        <v>99</v>
      </c>
      <c r="D100" s="3">
        <f t="shared" si="9"/>
        <v>9.6513781399342129</v>
      </c>
      <c r="E100" s="3">
        <f t="shared" si="10"/>
        <v>9.6513781399342129</v>
      </c>
      <c r="F100" s="5">
        <f t="shared" si="11"/>
        <v>0.32813610696601914</v>
      </c>
      <c r="G100" s="5">
        <f t="shared" si="12"/>
        <v>0.65627221393203827</v>
      </c>
      <c r="H100" s="5">
        <f t="shared" si="13"/>
        <v>0.98440832089805741</v>
      </c>
      <c r="I100" s="5">
        <f t="shared" si="14"/>
        <v>1.3125444278640765</v>
      </c>
      <c r="J100" s="5">
        <f t="shared" si="15"/>
        <v>1.6406805348300957</v>
      </c>
    </row>
    <row r="101" spans="2:10" x14ac:dyDescent="0.15">
      <c r="B101" s="2">
        <v>99</v>
      </c>
      <c r="C101" s="2">
        <f t="shared" si="8"/>
        <v>100</v>
      </c>
      <c r="D101" s="3">
        <f t="shared" si="9"/>
        <v>9.6999999999999993</v>
      </c>
      <c r="E101" s="3">
        <f t="shared" si="10"/>
        <v>9.6999999999999993</v>
      </c>
      <c r="F101" s="5">
        <f t="shared" si="11"/>
        <v>0.32651343909593039</v>
      </c>
      <c r="G101" s="5">
        <f t="shared" si="12"/>
        <v>0.65302687819186078</v>
      </c>
      <c r="H101" s="5">
        <f t="shared" si="13"/>
        <v>0.97954031728779123</v>
      </c>
      <c r="I101" s="5">
        <f t="shared" si="14"/>
        <v>1.3060537563837216</v>
      </c>
      <c r="J101" s="5">
        <f t="shared" si="15"/>
        <v>1.6325671954796519</v>
      </c>
    </row>
    <row r="102" spans="2:10" x14ac:dyDescent="0.15">
      <c r="B102" s="2">
        <v>100</v>
      </c>
      <c r="C102" s="2">
        <f t="shared" si="8"/>
        <v>101</v>
      </c>
      <c r="D102" s="3">
        <f t="shared" si="9"/>
        <v>9.7483793524872624</v>
      </c>
      <c r="E102" s="3">
        <f t="shared" si="10"/>
        <v>9.7483793524872624</v>
      </c>
      <c r="F102" s="5">
        <f t="shared" si="11"/>
        <v>0.32491460401404854</v>
      </c>
      <c r="G102" s="5">
        <f t="shared" si="12"/>
        <v>0.64982920802809707</v>
      </c>
      <c r="H102" s="5">
        <f t="shared" si="13"/>
        <v>0.97474381204214566</v>
      </c>
      <c r="I102" s="5">
        <f t="shared" si="14"/>
        <v>1.2996584160561941</v>
      </c>
      <c r="J102" s="5">
        <f t="shared" si="15"/>
        <v>1.6245730200702426</v>
      </c>
    </row>
    <row r="103" spans="2:10" x14ac:dyDescent="0.15">
      <c r="B103"/>
      <c r="C103"/>
      <c r="D103"/>
      <c r="E103"/>
      <c r="F103" s="7"/>
      <c r="G103" s="7"/>
      <c r="H103" s="7"/>
      <c r="I103" s="7"/>
      <c r="J103" s="7"/>
    </row>
    <row r="104" spans="2:10" x14ac:dyDescent="0.15">
      <c r="B104"/>
      <c r="C104"/>
      <c r="D104"/>
      <c r="E104"/>
      <c r="F104" s="7"/>
      <c r="G104" s="7"/>
      <c r="H104" s="7"/>
      <c r="I104" s="7"/>
      <c r="J104" s="7"/>
    </row>
    <row r="105" spans="2:10" x14ac:dyDescent="0.15">
      <c r="B105"/>
      <c r="C105"/>
      <c r="D105"/>
      <c r="E105"/>
      <c r="F105" s="7"/>
      <c r="G105" s="7"/>
      <c r="H105" s="7"/>
      <c r="I105" s="7"/>
      <c r="J105" s="7"/>
    </row>
    <row r="106" spans="2:10" x14ac:dyDescent="0.15">
      <c r="B106"/>
      <c r="C106"/>
      <c r="D106"/>
      <c r="E106"/>
      <c r="F106" s="7"/>
      <c r="G106" s="7"/>
      <c r="H106" s="7"/>
      <c r="I106" s="7"/>
      <c r="J106" s="7"/>
    </row>
    <row r="107" spans="2:10" x14ac:dyDescent="0.15">
      <c r="B107"/>
      <c r="C107"/>
      <c r="D107"/>
      <c r="E107"/>
      <c r="F107" s="7"/>
      <c r="G107" s="7"/>
      <c r="H107" s="7"/>
      <c r="I107" s="7"/>
      <c r="J107" s="7"/>
    </row>
    <row r="108" spans="2:10" x14ac:dyDescent="0.15">
      <c r="B108"/>
      <c r="C108"/>
      <c r="D108"/>
      <c r="E108"/>
      <c r="F108" s="7"/>
      <c r="G108" s="7"/>
      <c r="H108" s="7"/>
      <c r="I108" s="7"/>
      <c r="J108" s="7"/>
    </row>
    <row r="109" spans="2:10" x14ac:dyDescent="0.15">
      <c r="B109"/>
      <c r="C109"/>
      <c r="D109"/>
      <c r="E109"/>
      <c r="F109" s="7"/>
      <c r="G109" s="7"/>
      <c r="H109" s="7"/>
      <c r="I109" s="7"/>
      <c r="J109" s="7"/>
    </row>
    <row r="110" spans="2:10" x14ac:dyDescent="0.15">
      <c r="B110"/>
      <c r="C110"/>
      <c r="D110"/>
      <c r="E110"/>
      <c r="F110" s="7"/>
      <c r="G110" s="7"/>
      <c r="H110" s="7"/>
      <c r="I110" s="7"/>
      <c r="J110" s="7"/>
    </row>
    <row r="111" spans="2:10" x14ac:dyDescent="0.15">
      <c r="B111"/>
      <c r="C111"/>
      <c r="D111"/>
      <c r="E111"/>
      <c r="F111" s="7"/>
      <c r="G111" s="7"/>
      <c r="H111" s="7"/>
      <c r="I111" s="7"/>
      <c r="J111" s="7"/>
    </row>
    <row r="112" spans="2:10" x14ac:dyDescent="0.15">
      <c r="B112"/>
      <c r="C112"/>
      <c r="D112"/>
      <c r="E112"/>
      <c r="F112" s="7"/>
      <c r="G112" s="7"/>
      <c r="H112" s="7"/>
      <c r="I112" s="7"/>
      <c r="J112" s="7"/>
    </row>
    <row r="113" spans="2:10" x14ac:dyDescent="0.15">
      <c r="B113"/>
      <c r="C113"/>
      <c r="D113"/>
      <c r="E113"/>
      <c r="F113" s="7"/>
      <c r="G113" s="7"/>
      <c r="H113" s="7"/>
      <c r="I113" s="7"/>
      <c r="J113" s="7"/>
    </row>
    <row r="114" spans="2:10" x14ac:dyDescent="0.15">
      <c r="B114"/>
      <c r="C114"/>
      <c r="D114"/>
      <c r="E114"/>
      <c r="F114" s="7"/>
      <c r="G114" s="7"/>
      <c r="H114" s="7"/>
      <c r="I114" s="7"/>
      <c r="J114" s="7"/>
    </row>
    <row r="115" spans="2:10" x14ac:dyDescent="0.15">
      <c r="B115"/>
      <c r="C115"/>
      <c r="D115"/>
      <c r="E115"/>
      <c r="F115" s="7"/>
      <c r="G115" s="7"/>
      <c r="H115" s="7"/>
      <c r="I115" s="7"/>
      <c r="J115" s="7"/>
    </row>
    <row r="116" spans="2:10" x14ac:dyDescent="0.15">
      <c r="B116"/>
      <c r="C116"/>
      <c r="D116"/>
      <c r="E116"/>
      <c r="F116" s="7"/>
      <c r="G116" s="7"/>
      <c r="H116" s="7"/>
      <c r="I116" s="7"/>
      <c r="J116" s="7"/>
    </row>
    <row r="117" spans="2:10" x14ac:dyDescent="0.15">
      <c r="B117"/>
      <c r="C117"/>
      <c r="D117"/>
      <c r="E117"/>
      <c r="F117" s="7"/>
      <c r="G117" s="7"/>
      <c r="H117" s="7"/>
      <c r="I117" s="7"/>
      <c r="J117" s="7"/>
    </row>
    <row r="118" spans="2:10" x14ac:dyDescent="0.15">
      <c r="B118"/>
      <c r="C118"/>
      <c r="D118"/>
      <c r="E118"/>
      <c r="F118" s="7"/>
      <c r="G118" s="7"/>
      <c r="H118" s="7"/>
      <c r="I118" s="7"/>
      <c r="J118" s="7"/>
    </row>
    <row r="119" spans="2:10" x14ac:dyDescent="0.15">
      <c r="B119"/>
      <c r="C119"/>
      <c r="D119"/>
      <c r="E119"/>
      <c r="F119" s="7"/>
      <c r="G119" s="7"/>
      <c r="H119" s="7"/>
      <c r="I119" s="7"/>
      <c r="J119" s="7"/>
    </row>
    <row r="120" spans="2:10" x14ac:dyDescent="0.15">
      <c r="B120"/>
      <c r="C120"/>
      <c r="D120"/>
      <c r="E120"/>
      <c r="F120" s="7"/>
      <c r="G120" s="7"/>
      <c r="H120" s="7"/>
      <c r="I120" s="7"/>
      <c r="J120" s="7"/>
    </row>
    <row r="121" spans="2:10" x14ac:dyDescent="0.15">
      <c r="B121"/>
      <c r="C121"/>
      <c r="D121"/>
      <c r="E121"/>
      <c r="F121" s="7"/>
      <c r="G121" s="7"/>
      <c r="H121" s="7"/>
      <c r="I121" s="7"/>
      <c r="J121" s="7"/>
    </row>
    <row r="122" spans="2:10" x14ac:dyDescent="0.15">
      <c r="B122"/>
      <c r="C122"/>
      <c r="D122"/>
      <c r="E122"/>
      <c r="F122" s="7"/>
      <c r="G122" s="7"/>
      <c r="H122" s="7"/>
      <c r="I122" s="7"/>
      <c r="J122" s="7"/>
    </row>
    <row r="123" spans="2:10" x14ac:dyDescent="0.15">
      <c r="B123"/>
      <c r="C123"/>
      <c r="D123"/>
      <c r="E123"/>
      <c r="F123" s="7"/>
      <c r="G123" s="7"/>
      <c r="H123" s="7"/>
      <c r="I123" s="7"/>
      <c r="J123" s="7"/>
    </row>
    <row r="124" spans="2:10" x14ac:dyDescent="0.15">
      <c r="B124"/>
      <c r="C124"/>
      <c r="D124"/>
      <c r="E124"/>
      <c r="F124" s="7"/>
      <c r="G124" s="7"/>
      <c r="H124" s="7"/>
      <c r="I124" s="7"/>
      <c r="J124" s="7"/>
    </row>
    <row r="125" spans="2:10" x14ac:dyDescent="0.15">
      <c r="B125"/>
      <c r="C125"/>
      <c r="D125"/>
      <c r="E125"/>
      <c r="F125" s="7"/>
      <c r="G125" s="7"/>
      <c r="H125" s="7"/>
      <c r="I125" s="7"/>
      <c r="J125" s="7"/>
    </row>
    <row r="126" spans="2:10" x14ac:dyDescent="0.15">
      <c r="B126"/>
      <c r="C126"/>
      <c r="D126"/>
      <c r="E126"/>
      <c r="F126" s="7"/>
      <c r="G126" s="7"/>
      <c r="H126" s="7"/>
      <c r="I126" s="7"/>
      <c r="J126" s="7"/>
    </row>
    <row r="127" spans="2:10" x14ac:dyDescent="0.15">
      <c r="B127"/>
      <c r="C127"/>
      <c r="D127"/>
      <c r="E127"/>
      <c r="F127" s="7"/>
      <c r="G127" s="7"/>
      <c r="H127" s="7"/>
      <c r="I127" s="7"/>
      <c r="J127" s="7"/>
    </row>
    <row r="128" spans="2:10" x14ac:dyDescent="0.15">
      <c r="B128"/>
      <c r="C128"/>
      <c r="D128"/>
      <c r="E128"/>
      <c r="F128" s="7"/>
      <c r="G128" s="7"/>
      <c r="H128" s="7"/>
      <c r="I128" s="7"/>
      <c r="J128" s="7"/>
    </row>
    <row r="129" spans="2:10" x14ac:dyDescent="0.15">
      <c r="B129"/>
      <c r="C129"/>
      <c r="D129"/>
      <c r="E129"/>
      <c r="F129" s="7"/>
      <c r="G129" s="7"/>
      <c r="H129" s="7"/>
      <c r="I129" s="7"/>
      <c r="J129" s="7"/>
    </row>
    <row r="130" spans="2:10" x14ac:dyDescent="0.15">
      <c r="B130"/>
      <c r="C130"/>
      <c r="D130"/>
      <c r="E130"/>
      <c r="F130" s="7"/>
      <c r="G130" s="7"/>
      <c r="H130" s="7"/>
      <c r="I130" s="7"/>
      <c r="J130" s="7"/>
    </row>
    <row r="131" spans="2:10" x14ac:dyDescent="0.15">
      <c r="B131"/>
      <c r="C131"/>
      <c r="D131"/>
      <c r="E131"/>
      <c r="F131" s="7"/>
      <c r="G131" s="7"/>
      <c r="H131" s="7"/>
      <c r="I131" s="7"/>
      <c r="J131" s="7"/>
    </row>
    <row r="132" spans="2:10" x14ac:dyDescent="0.15">
      <c r="B132"/>
      <c r="C132"/>
      <c r="D132"/>
      <c r="E132"/>
      <c r="F132" s="7"/>
      <c r="G132" s="7"/>
      <c r="H132" s="7"/>
      <c r="I132" s="7"/>
      <c r="J132" s="7"/>
    </row>
    <row r="133" spans="2:10" x14ac:dyDescent="0.15">
      <c r="B133"/>
      <c r="C133"/>
      <c r="D133"/>
      <c r="E133"/>
      <c r="F133" s="7"/>
      <c r="G133" s="7"/>
      <c r="H133" s="7"/>
      <c r="I133" s="7"/>
      <c r="J133" s="7"/>
    </row>
    <row r="134" spans="2:10" x14ac:dyDescent="0.15">
      <c r="B134"/>
      <c r="C134"/>
      <c r="D134"/>
      <c r="E134"/>
      <c r="F134" s="7"/>
      <c r="G134" s="7"/>
      <c r="H134" s="7"/>
      <c r="I134" s="7"/>
      <c r="J134" s="7"/>
    </row>
    <row r="135" spans="2:10" x14ac:dyDescent="0.15">
      <c r="B135"/>
      <c r="C135"/>
      <c r="D135"/>
      <c r="E135"/>
      <c r="F135" s="7"/>
      <c r="G135" s="7"/>
      <c r="H135" s="7"/>
      <c r="I135" s="7"/>
      <c r="J135" s="7"/>
    </row>
    <row r="136" spans="2:10" x14ac:dyDescent="0.15">
      <c r="B136"/>
      <c r="C136"/>
      <c r="D136"/>
      <c r="E136"/>
      <c r="F136" s="7"/>
      <c r="G136" s="7"/>
      <c r="H136" s="7"/>
      <c r="I136" s="7"/>
      <c r="J136" s="7"/>
    </row>
    <row r="137" spans="2:10" x14ac:dyDescent="0.15">
      <c r="B137"/>
      <c r="C137"/>
      <c r="D137"/>
      <c r="E137"/>
      <c r="F137" s="7"/>
      <c r="G137" s="7"/>
      <c r="H137" s="7"/>
      <c r="I137" s="7"/>
      <c r="J137" s="7"/>
    </row>
    <row r="138" spans="2:10" x14ac:dyDescent="0.15">
      <c r="B138"/>
      <c r="C138"/>
      <c r="D138"/>
      <c r="E138"/>
      <c r="F138" s="7"/>
      <c r="G138" s="7"/>
      <c r="H138" s="7"/>
      <c r="I138" s="7"/>
      <c r="J138" s="7"/>
    </row>
    <row r="139" spans="2:10" x14ac:dyDescent="0.15">
      <c r="B139"/>
      <c r="C139"/>
      <c r="D139"/>
      <c r="E139"/>
      <c r="F139" s="7"/>
      <c r="G139" s="7"/>
      <c r="H139" s="7"/>
      <c r="I139" s="7"/>
      <c r="J139" s="7"/>
    </row>
    <row r="140" spans="2:10" x14ac:dyDescent="0.15">
      <c r="B140"/>
      <c r="C140"/>
      <c r="D140"/>
      <c r="E140"/>
      <c r="F140" s="7"/>
      <c r="G140" s="7"/>
      <c r="H140" s="7"/>
      <c r="I140" s="7"/>
      <c r="J140" s="7"/>
    </row>
    <row r="141" spans="2:10" x14ac:dyDescent="0.15">
      <c r="B141"/>
      <c r="C141"/>
      <c r="D141"/>
      <c r="E141"/>
      <c r="F141" s="7"/>
      <c r="G141" s="7"/>
      <c r="H141" s="7"/>
      <c r="I141" s="7"/>
      <c r="J141" s="7"/>
    </row>
    <row r="142" spans="2:10" x14ac:dyDescent="0.15">
      <c r="B142"/>
      <c r="C142"/>
      <c r="D142"/>
      <c r="E142"/>
      <c r="F142" s="7"/>
      <c r="G142" s="7"/>
      <c r="H142" s="7"/>
      <c r="I142" s="7"/>
      <c r="J142" s="7"/>
    </row>
    <row r="143" spans="2:10" x14ac:dyDescent="0.15">
      <c r="B143"/>
      <c r="C143"/>
      <c r="D143"/>
      <c r="E143"/>
      <c r="F143" s="7"/>
      <c r="G143" s="7"/>
      <c r="H143" s="7"/>
      <c r="I143" s="7"/>
      <c r="J143" s="7"/>
    </row>
    <row r="144" spans="2:10" x14ac:dyDescent="0.15">
      <c r="B144"/>
      <c r="C144"/>
      <c r="D144"/>
      <c r="E144"/>
      <c r="F144" s="7"/>
      <c r="G144" s="7"/>
      <c r="H144" s="7"/>
      <c r="I144" s="7"/>
      <c r="J144" s="7"/>
    </row>
    <row r="145" spans="2:10" x14ac:dyDescent="0.15">
      <c r="B145"/>
      <c r="C145"/>
      <c r="D145"/>
      <c r="E145"/>
      <c r="F145" s="7"/>
      <c r="G145" s="7"/>
      <c r="H145" s="7"/>
      <c r="I145" s="7"/>
      <c r="J145" s="7"/>
    </row>
    <row r="146" spans="2:10" x14ac:dyDescent="0.15">
      <c r="B146"/>
      <c r="C146"/>
      <c r="D146"/>
      <c r="E146"/>
      <c r="F146" s="7"/>
      <c r="G146" s="7"/>
      <c r="H146" s="7"/>
      <c r="I146" s="7"/>
      <c r="J146" s="7"/>
    </row>
    <row r="147" spans="2:10" x14ac:dyDescent="0.15">
      <c r="B147"/>
      <c r="C147"/>
      <c r="D147"/>
      <c r="E147"/>
      <c r="F147" s="7"/>
      <c r="G147" s="7"/>
      <c r="H147" s="7"/>
      <c r="I147" s="7"/>
      <c r="J147" s="7"/>
    </row>
    <row r="148" spans="2:10" x14ac:dyDescent="0.15">
      <c r="B148"/>
      <c r="C148"/>
      <c r="D148"/>
      <c r="E148"/>
      <c r="F148" s="7"/>
      <c r="G148" s="7"/>
      <c r="H148" s="7"/>
      <c r="I148" s="7"/>
      <c r="J148" s="7"/>
    </row>
    <row r="149" spans="2:10" x14ac:dyDescent="0.15">
      <c r="B149"/>
      <c r="C149"/>
      <c r="D149"/>
      <c r="E149"/>
      <c r="F149" s="7"/>
      <c r="G149" s="7"/>
      <c r="H149" s="7"/>
      <c r="I149" s="7"/>
      <c r="J149" s="7"/>
    </row>
    <row r="150" spans="2:10" x14ac:dyDescent="0.15">
      <c r="B150"/>
      <c r="C150"/>
      <c r="D150"/>
      <c r="E150"/>
      <c r="F150" s="7"/>
      <c r="G150" s="7"/>
      <c r="H150" s="7"/>
      <c r="I150" s="7"/>
      <c r="J150" s="7"/>
    </row>
    <row r="151" spans="2:10" x14ac:dyDescent="0.15">
      <c r="B151"/>
      <c r="C151"/>
      <c r="D151"/>
      <c r="E151"/>
      <c r="F151" s="7"/>
      <c r="G151" s="7"/>
      <c r="H151" s="7"/>
      <c r="I151" s="7"/>
      <c r="J151" s="7"/>
    </row>
    <row r="152" spans="2:10" x14ac:dyDescent="0.15">
      <c r="B152"/>
      <c r="C152"/>
      <c r="D152"/>
      <c r="E152"/>
      <c r="F152" s="7"/>
      <c r="G152" s="7"/>
      <c r="H152" s="7"/>
      <c r="I152" s="7"/>
      <c r="J152" s="7"/>
    </row>
    <row r="153" spans="2:10" x14ac:dyDescent="0.15">
      <c r="B153"/>
      <c r="C153"/>
      <c r="D153"/>
      <c r="E153"/>
      <c r="F153" s="7"/>
      <c r="G153" s="7"/>
      <c r="H153" s="7"/>
      <c r="I153" s="7"/>
      <c r="J153" s="7"/>
    </row>
    <row r="154" spans="2:10" x14ac:dyDescent="0.15">
      <c r="B154"/>
      <c r="C154"/>
      <c r="D154"/>
      <c r="E154"/>
      <c r="F154" s="7"/>
      <c r="G154" s="7"/>
      <c r="H154" s="7"/>
      <c r="I154" s="7"/>
      <c r="J154" s="7"/>
    </row>
    <row r="155" spans="2:10" x14ac:dyDescent="0.15">
      <c r="B155"/>
      <c r="C155"/>
      <c r="D155"/>
      <c r="E155"/>
      <c r="F155" s="7"/>
      <c r="G155" s="7"/>
      <c r="H155" s="7"/>
      <c r="I155" s="7"/>
      <c r="J155" s="7"/>
    </row>
    <row r="156" spans="2:10" x14ac:dyDescent="0.15">
      <c r="B156"/>
      <c r="C156"/>
      <c r="D156"/>
      <c r="E156"/>
      <c r="F156" s="7"/>
      <c r="G156" s="7"/>
      <c r="H156" s="7"/>
      <c r="I156" s="7"/>
      <c r="J156" s="7"/>
    </row>
    <row r="157" spans="2:10" x14ac:dyDescent="0.15">
      <c r="B157"/>
      <c r="C157"/>
      <c r="D157"/>
      <c r="E157"/>
      <c r="F157" s="7"/>
      <c r="G157" s="7"/>
      <c r="H157" s="7"/>
      <c r="I157" s="7"/>
      <c r="J157" s="7"/>
    </row>
    <row r="158" spans="2:10" x14ac:dyDescent="0.15">
      <c r="B158"/>
      <c r="C158"/>
      <c r="D158"/>
      <c r="E158"/>
      <c r="F158" s="7"/>
      <c r="G158" s="7"/>
      <c r="H158" s="7"/>
      <c r="I158" s="7"/>
      <c r="J158" s="7"/>
    </row>
    <row r="159" spans="2:10" x14ac:dyDescent="0.15">
      <c r="B159"/>
      <c r="C159"/>
      <c r="D159"/>
      <c r="E159"/>
      <c r="F159" s="7"/>
      <c r="G159" s="7"/>
      <c r="H159" s="7"/>
      <c r="I159" s="7"/>
      <c r="J159" s="7"/>
    </row>
    <row r="160" spans="2:10" x14ac:dyDescent="0.15">
      <c r="B160"/>
      <c r="C160"/>
      <c r="D160"/>
      <c r="E160"/>
      <c r="F160" s="7"/>
      <c r="G160" s="7"/>
      <c r="H160" s="7"/>
      <c r="I160" s="7"/>
      <c r="J160" s="7"/>
    </row>
    <row r="161" spans="2:10" x14ac:dyDescent="0.15">
      <c r="B161"/>
      <c r="C161"/>
      <c r="D161"/>
      <c r="E161"/>
      <c r="F161" s="7"/>
      <c r="G161" s="7"/>
      <c r="H161" s="7"/>
      <c r="I161" s="7"/>
      <c r="J161" s="7"/>
    </row>
    <row r="162" spans="2:10" x14ac:dyDescent="0.15">
      <c r="B162"/>
      <c r="C162"/>
      <c r="D162"/>
      <c r="E162"/>
      <c r="F162" s="7"/>
      <c r="G162" s="7"/>
      <c r="H162" s="7"/>
      <c r="I162" s="7"/>
      <c r="J162" s="7"/>
    </row>
    <row r="163" spans="2:10" x14ac:dyDescent="0.15">
      <c r="B163"/>
      <c r="C163"/>
      <c r="D163"/>
      <c r="E163"/>
      <c r="F163" s="7"/>
      <c r="G163" s="7"/>
      <c r="H163" s="7"/>
      <c r="I163" s="7"/>
      <c r="J163" s="7"/>
    </row>
    <row r="164" spans="2:10" x14ac:dyDescent="0.15">
      <c r="B164"/>
      <c r="C164"/>
      <c r="D164"/>
      <c r="E164"/>
      <c r="F164" s="7"/>
      <c r="G164" s="7"/>
      <c r="H164" s="7"/>
      <c r="I164" s="7"/>
      <c r="J164" s="7"/>
    </row>
    <row r="165" spans="2:10" x14ac:dyDescent="0.15">
      <c r="B165"/>
      <c r="C165"/>
      <c r="D165"/>
      <c r="E165"/>
      <c r="F165" s="7"/>
      <c r="G165" s="7"/>
      <c r="H165" s="7"/>
      <c r="I165" s="7"/>
      <c r="J165" s="7"/>
    </row>
    <row r="166" spans="2:10" x14ac:dyDescent="0.15">
      <c r="B166"/>
      <c r="C166"/>
      <c r="D166"/>
      <c r="E166"/>
      <c r="F166" s="7"/>
      <c r="G166" s="7"/>
      <c r="H166" s="7"/>
      <c r="I166" s="7"/>
      <c r="J166" s="7"/>
    </row>
    <row r="167" spans="2:10" x14ac:dyDescent="0.15">
      <c r="B167"/>
      <c r="C167"/>
      <c r="D167"/>
      <c r="E167"/>
      <c r="F167" s="7"/>
      <c r="G167" s="7"/>
      <c r="H167" s="7"/>
      <c r="I167" s="7"/>
      <c r="J167" s="7"/>
    </row>
    <row r="168" spans="2:10" x14ac:dyDescent="0.15">
      <c r="B168"/>
      <c r="C168"/>
      <c r="D168"/>
      <c r="E168"/>
      <c r="F168" s="7"/>
      <c r="G168" s="7"/>
      <c r="H168" s="7"/>
      <c r="I168" s="7"/>
      <c r="J168" s="7"/>
    </row>
    <row r="169" spans="2:10" x14ac:dyDescent="0.15">
      <c r="B169"/>
      <c r="C169"/>
      <c r="D169"/>
      <c r="E169"/>
      <c r="F169" s="7"/>
      <c r="G169" s="7"/>
      <c r="H169" s="7"/>
      <c r="I169" s="7"/>
      <c r="J169" s="7"/>
    </row>
    <row r="170" spans="2:10" x14ac:dyDescent="0.15">
      <c r="B170"/>
      <c r="C170"/>
      <c r="D170"/>
      <c r="E170"/>
      <c r="F170" s="7"/>
      <c r="G170" s="7"/>
      <c r="H170" s="7"/>
      <c r="I170" s="7"/>
      <c r="J170" s="7"/>
    </row>
    <row r="171" spans="2:10" x14ac:dyDescent="0.15">
      <c r="B171"/>
      <c r="C171"/>
      <c r="D171"/>
      <c r="E171"/>
      <c r="F171" s="7"/>
      <c r="G171" s="7"/>
      <c r="H171" s="7"/>
      <c r="I171" s="7"/>
      <c r="J171" s="7"/>
    </row>
    <row r="172" spans="2:10" x14ac:dyDescent="0.15">
      <c r="B172"/>
      <c r="C172"/>
      <c r="D172"/>
      <c r="E172"/>
      <c r="F172" s="7"/>
      <c r="G172" s="7"/>
      <c r="H172" s="7"/>
      <c r="I172" s="7"/>
      <c r="J172" s="7"/>
    </row>
    <row r="173" spans="2:10" x14ac:dyDescent="0.15">
      <c r="B173"/>
      <c r="C173"/>
      <c r="D173"/>
      <c r="E173"/>
      <c r="F173" s="7"/>
      <c r="G173" s="7"/>
      <c r="H173" s="7"/>
      <c r="I173" s="7"/>
      <c r="J173" s="7"/>
    </row>
    <row r="174" spans="2:10" x14ac:dyDescent="0.15">
      <c r="B174"/>
      <c r="C174"/>
      <c r="D174"/>
      <c r="E174"/>
      <c r="F174" s="7"/>
      <c r="G174" s="7"/>
      <c r="H174" s="7"/>
      <c r="I174" s="7"/>
      <c r="J174" s="7"/>
    </row>
    <row r="175" spans="2:10" x14ac:dyDescent="0.15">
      <c r="B175"/>
      <c r="C175"/>
      <c r="D175"/>
      <c r="E175"/>
      <c r="F175" s="7"/>
      <c r="G175" s="7"/>
      <c r="H175" s="7"/>
      <c r="I175" s="7"/>
      <c r="J175" s="7"/>
    </row>
    <row r="176" spans="2:10" x14ac:dyDescent="0.15">
      <c r="B176"/>
      <c r="C176"/>
      <c r="D176"/>
      <c r="E176"/>
      <c r="F176" s="7"/>
      <c r="G176" s="7"/>
      <c r="H176" s="7"/>
      <c r="I176" s="7"/>
      <c r="J176" s="7"/>
    </row>
    <row r="177" spans="2:10" x14ac:dyDescent="0.15">
      <c r="B177"/>
      <c r="C177"/>
      <c r="D177"/>
      <c r="E177"/>
      <c r="F177" s="7"/>
      <c r="G177" s="7"/>
      <c r="H177" s="7"/>
      <c r="I177" s="7"/>
      <c r="J177" s="7"/>
    </row>
    <row r="178" spans="2:10" x14ac:dyDescent="0.15">
      <c r="B178"/>
      <c r="C178"/>
      <c r="D178"/>
      <c r="E178"/>
      <c r="F178" s="7"/>
      <c r="G178" s="7"/>
      <c r="H178" s="7"/>
      <c r="I178" s="7"/>
      <c r="J178" s="7"/>
    </row>
    <row r="179" spans="2:10" x14ac:dyDescent="0.15">
      <c r="B179"/>
      <c r="C179"/>
      <c r="D179"/>
      <c r="E179"/>
      <c r="F179" s="7"/>
      <c r="G179" s="7"/>
      <c r="H179" s="7"/>
      <c r="I179" s="7"/>
      <c r="J179" s="7"/>
    </row>
    <row r="180" spans="2:10" x14ac:dyDescent="0.15">
      <c r="B180"/>
      <c r="C180"/>
      <c r="D180"/>
      <c r="E180"/>
      <c r="F180" s="7"/>
      <c r="G180" s="7"/>
      <c r="H180" s="7"/>
      <c r="I180" s="7"/>
      <c r="J180" s="7"/>
    </row>
    <row r="181" spans="2:10" x14ac:dyDescent="0.15">
      <c r="B181"/>
      <c r="C181"/>
      <c r="D181"/>
      <c r="E181"/>
      <c r="F181" s="7"/>
      <c r="G181" s="7"/>
      <c r="H181" s="7"/>
      <c r="I181" s="7"/>
      <c r="J181" s="7"/>
    </row>
    <row r="182" spans="2:10" x14ac:dyDescent="0.15">
      <c r="B182"/>
      <c r="C182"/>
      <c r="D182"/>
      <c r="E182"/>
      <c r="F182" s="7"/>
      <c r="G182" s="7"/>
      <c r="H182" s="7"/>
      <c r="I182" s="7"/>
      <c r="J182" s="7"/>
    </row>
    <row r="183" spans="2:10" x14ac:dyDescent="0.15">
      <c r="B183"/>
      <c r="C183"/>
      <c r="D183"/>
      <c r="E183"/>
      <c r="F183" s="7"/>
      <c r="G183" s="7"/>
      <c r="H183" s="7"/>
      <c r="I183" s="7"/>
      <c r="J183" s="7"/>
    </row>
    <row r="184" spans="2:10" x14ac:dyDescent="0.15">
      <c r="B184"/>
      <c r="C184"/>
      <c r="D184"/>
      <c r="E184"/>
      <c r="F184" s="7"/>
      <c r="G184" s="7"/>
      <c r="H184" s="7"/>
      <c r="I184" s="7"/>
      <c r="J184" s="7"/>
    </row>
    <row r="185" spans="2:10" x14ac:dyDescent="0.15">
      <c r="B185"/>
      <c r="C185"/>
      <c r="D185"/>
      <c r="E185"/>
      <c r="F185" s="7"/>
      <c r="G185" s="7"/>
      <c r="H185" s="7"/>
      <c r="I185" s="7"/>
      <c r="J185" s="7"/>
    </row>
    <row r="186" spans="2:10" x14ac:dyDescent="0.15">
      <c r="B186"/>
      <c r="C186"/>
      <c r="D186"/>
      <c r="E186"/>
      <c r="F186" s="7"/>
      <c r="G186" s="7"/>
      <c r="H186" s="7"/>
      <c r="I186" s="7"/>
      <c r="J186" s="7"/>
    </row>
    <row r="187" spans="2:10" x14ac:dyDescent="0.15">
      <c r="B187"/>
      <c r="C187"/>
      <c r="D187"/>
      <c r="E187"/>
      <c r="F187" s="7"/>
      <c r="G187" s="7"/>
      <c r="H187" s="7"/>
      <c r="I187" s="7"/>
      <c r="J187" s="7"/>
    </row>
    <row r="188" spans="2:10" x14ac:dyDescent="0.15">
      <c r="B188"/>
      <c r="C188"/>
      <c r="D188"/>
      <c r="E188"/>
      <c r="F188" s="7"/>
      <c r="G188" s="7"/>
      <c r="H188" s="7"/>
      <c r="I188" s="7"/>
      <c r="J188" s="7"/>
    </row>
    <row r="189" spans="2:10" x14ac:dyDescent="0.15">
      <c r="B189"/>
      <c r="C189"/>
      <c r="D189"/>
      <c r="E189"/>
      <c r="F189" s="7"/>
      <c r="G189" s="7"/>
      <c r="H189" s="7"/>
      <c r="I189" s="7"/>
      <c r="J189" s="7"/>
    </row>
    <row r="190" spans="2:10" x14ac:dyDescent="0.15">
      <c r="B190"/>
      <c r="C190"/>
      <c r="D190"/>
      <c r="E190"/>
      <c r="F190" s="7"/>
      <c r="G190" s="7"/>
      <c r="H190" s="7"/>
      <c r="I190" s="7"/>
      <c r="J190" s="7"/>
    </row>
    <row r="191" spans="2:10" x14ac:dyDescent="0.15">
      <c r="B191"/>
      <c r="C191"/>
      <c r="D191"/>
      <c r="E191"/>
      <c r="F191" s="7"/>
      <c r="G191" s="7"/>
      <c r="H191" s="7"/>
      <c r="I191" s="7"/>
      <c r="J191" s="7"/>
    </row>
    <row r="192" spans="2:10" x14ac:dyDescent="0.15">
      <c r="B192"/>
      <c r="C192"/>
      <c r="D192"/>
      <c r="E192"/>
      <c r="F192" s="7"/>
      <c r="G192" s="7"/>
      <c r="H192" s="7"/>
      <c r="I192" s="7"/>
      <c r="J192" s="7"/>
    </row>
    <row r="193" spans="2:10" x14ac:dyDescent="0.15">
      <c r="B193"/>
      <c r="C193"/>
      <c r="D193"/>
      <c r="E193"/>
      <c r="F193" s="7"/>
      <c r="G193" s="7"/>
      <c r="H193" s="7"/>
      <c r="I193" s="7"/>
      <c r="J193" s="7"/>
    </row>
    <row r="194" spans="2:10" x14ac:dyDescent="0.15">
      <c r="B194"/>
      <c r="C194"/>
      <c r="D194"/>
      <c r="E194"/>
      <c r="F194" s="7"/>
      <c r="G194" s="7"/>
      <c r="H194" s="7"/>
      <c r="I194" s="7"/>
      <c r="J194" s="7"/>
    </row>
    <row r="195" spans="2:10" x14ac:dyDescent="0.15">
      <c r="B195"/>
      <c r="C195"/>
      <c r="D195"/>
      <c r="E195"/>
      <c r="F195" s="7"/>
      <c r="G195" s="7"/>
      <c r="H195" s="7"/>
      <c r="I195" s="7"/>
      <c r="J195" s="7"/>
    </row>
    <row r="196" spans="2:10" x14ac:dyDescent="0.15">
      <c r="B196"/>
      <c r="C196"/>
      <c r="D196"/>
      <c r="E196"/>
      <c r="F196" s="7"/>
      <c r="G196" s="7"/>
      <c r="H196" s="7"/>
      <c r="I196" s="7"/>
      <c r="J196" s="7"/>
    </row>
    <row r="197" spans="2:10" x14ac:dyDescent="0.15">
      <c r="B197"/>
      <c r="C197"/>
      <c r="D197"/>
      <c r="E197"/>
      <c r="F197" s="7"/>
      <c r="G197" s="7"/>
      <c r="H197" s="7"/>
      <c r="I197" s="7"/>
      <c r="J197" s="7"/>
    </row>
    <row r="198" spans="2:10" x14ac:dyDescent="0.15">
      <c r="B198"/>
      <c r="C198"/>
      <c r="D198"/>
      <c r="E198"/>
      <c r="F198" s="7"/>
      <c r="G198" s="7"/>
      <c r="H198" s="7"/>
      <c r="I198" s="7"/>
      <c r="J198" s="7"/>
    </row>
    <row r="199" spans="2:10" x14ac:dyDescent="0.15">
      <c r="B199"/>
      <c r="C199"/>
      <c r="D199"/>
      <c r="E199"/>
      <c r="F199" s="7"/>
      <c r="G199" s="7"/>
      <c r="H199" s="7"/>
      <c r="I199" s="7"/>
      <c r="J199" s="7"/>
    </row>
    <row r="200" spans="2:10" x14ac:dyDescent="0.15">
      <c r="B200"/>
      <c r="C200"/>
      <c r="D200"/>
      <c r="E200"/>
      <c r="F200" s="7"/>
      <c r="G200" s="7"/>
      <c r="H200" s="7"/>
      <c r="I200" s="7"/>
      <c r="J200" s="7"/>
    </row>
    <row r="201" spans="2:10" x14ac:dyDescent="0.15">
      <c r="B201"/>
      <c r="C201"/>
      <c r="D201"/>
      <c r="E201"/>
      <c r="F201" s="7"/>
      <c r="G201" s="7"/>
      <c r="H201" s="7"/>
      <c r="I201" s="7"/>
      <c r="J201" s="7"/>
    </row>
    <row r="202" spans="2:10" x14ac:dyDescent="0.15">
      <c r="B202"/>
      <c r="C202"/>
      <c r="D202"/>
      <c r="E202"/>
      <c r="F202" s="7"/>
      <c r="G202" s="7"/>
      <c r="H202" s="7"/>
      <c r="I202" s="7"/>
      <c r="J202" s="7"/>
    </row>
    <row r="203" spans="2:10" x14ac:dyDescent="0.15">
      <c r="B203"/>
      <c r="C203"/>
      <c r="D203"/>
      <c r="E203"/>
      <c r="F203" s="7"/>
      <c r="G203" s="7"/>
      <c r="H203" s="7"/>
      <c r="I203" s="7"/>
      <c r="J203" s="7"/>
    </row>
    <row r="204" spans="2:10" x14ac:dyDescent="0.15">
      <c r="B204"/>
      <c r="C204"/>
      <c r="D204"/>
      <c r="E204"/>
      <c r="F204" s="7"/>
      <c r="G204" s="7"/>
      <c r="H204" s="7"/>
      <c r="I204" s="7"/>
      <c r="J204" s="7"/>
    </row>
    <row r="205" spans="2:10" x14ac:dyDescent="0.15">
      <c r="B205"/>
      <c r="C205"/>
      <c r="D205"/>
      <c r="E205"/>
      <c r="F205" s="7"/>
      <c r="G205" s="7"/>
      <c r="H205" s="7"/>
      <c r="I205" s="7"/>
      <c r="J205" s="7"/>
    </row>
    <row r="206" spans="2:10" x14ac:dyDescent="0.15">
      <c r="B206"/>
      <c r="C206"/>
      <c r="D206"/>
      <c r="E206"/>
      <c r="F206" s="7"/>
      <c r="G206" s="7"/>
      <c r="H206" s="7"/>
      <c r="I206" s="7"/>
      <c r="J206" s="7"/>
    </row>
    <row r="207" spans="2:10" x14ac:dyDescent="0.15">
      <c r="B207"/>
      <c r="C207"/>
      <c r="D207"/>
      <c r="E207"/>
      <c r="F207" s="7"/>
      <c r="G207" s="7"/>
      <c r="H207" s="7"/>
      <c r="I207" s="7"/>
      <c r="J207" s="7"/>
    </row>
    <row r="208" spans="2:10" x14ac:dyDescent="0.15">
      <c r="B208"/>
      <c r="C208"/>
      <c r="D208"/>
      <c r="E208"/>
      <c r="F208" s="7"/>
      <c r="G208" s="7"/>
      <c r="H208" s="7"/>
      <c r="I208" s="7"/>
      <c r="J208" s="7"/>
    </row>
    <row r="209" spans="2:10" x14ac:dyDescent="0.15">
      <c r="B209"/>
      <c r="C209"/>
      <c r="D209"/>
      <c r="E209"/>
      <c r="F209" s="7"/>
      <c r="G209" s="7"/>
      <c r="H209" s="7"/>
      <c r="I209" s="7"/>
      <c r="J209" s="7"/>
    </row>
    <row r="210" spans="2:10" x14ac:dyDescent="0.15">
      <c r="B210"/>
      <c r="C210"/>
      <c r="D210"/>
      <c r="E210"/>
      <c r="F210" s="7"/>
      <c r="G210" s="7"/>
      <c r="H210" s="7"/>
      <c r="I210" s="7"/>
      <c r="J210" s="7"/>
    </row>
    <row r="211" spans="2:10" x14ac:dyDescent="0.15">
      <c r="B211"/>
      <c r="C211"/>
      <c r="D211"/>
      <c r="E211"/>
      <c r="F211" s="7"/>
      <c r="G211" s="7"/>
      <c r="H211" s="7"/>
      <c r="I211" s="7"/>
      <c r="J211" s="7"/>
    </row>
    <row r="212" spans="2:10" x14ac:dyDescent="0.15">
      <c r="B212"/>
      <c r="C212"/>
      <c r="D212"/>
      <c r="E212"/>
      <c r="F212" s="7"/>
      <c r="G212" s="7"/>
      <c r="H212" s="7"/>
      <c r="I212" s="7"/>
      <c r="J212" s="7"/>
    </row>
    <row r="213" spans="2:10" x14ac:dyDescent="0.15">
      <c r="B213"/>
      <c r="C213"/>
      <c r="D213"/>
      <c r="E213"/>
      <c r="F213" s="7"/>
      <c r="G213" s="7"/>
      <c r="H213" s="7"/>
      <c r="I213" s="7"/>
      <c r="J213" s="7"/>
    </row>
    <row r="214" spans="2:10" x14ac:dyDescent="0.15">
      <c r="B214"/>
      <c r="C214"/>
      <c r="D214"/>
      <c r="E214"/>
      <c r="F214" s="7"/>
      <c r="G214" s="7"/>
      <c r="H214" s="7"/>
      <c r="I214" s="7"/>
      <c r="J214" s="7"/>
    </row>
    <row r="215" spans="2:10" x14ac:dyDescent="0.15">
      <c r="B215"/>
      <c r="C215"/>
      <c r="D215"/>
      <c r="E215"/>
      <c r="F215" s="7"/>
      <c r="G215" s="7"/>
      <c r="H215" s="7"/>
      <c r="I215" s="7"/>
      <c r="J215" s="7"/>
    </row>
    <row r="216" spans="2:10" x14ac:dyDescent="0.15">
      <c r="B216"/>
      <c r="C216"/>
      <c r="D216"/>
      <c r="E216"/>
      <c r="F216" s="7"/>
      <c r="G216" s="7"/>
      <c r="H216" s="7"/>
      <c r="I216" s="7"/>
      <c r="J216" s="7"/>
    </row>
    <row r="217" spans="2:10" x14ac:dyDescent="0.15">
      <c r="B217"/>
      <c r="C217"/>
      <c r="D217"/>
      <c r="E217"/>
      <c r="F217" s="7"/>
      <c r="G217" s="7"/>
      <c r="H217" s="7"/>
      <c r="I217" s="7"/>
      <c r="J217" s="7"/>
    </row>
    <row r="218" spans="2:10" x14ac:dyDescent="0.15">
      <c r="B218"/>
      <c r="C218"/>
      <c r="D218"/>
      <c r="E218"/>
      <c r="F218" s="7"/>
      <c r="G218" s="7"/>
      <c r="H218" s="7"/>
      <c r="I218" s="7"/>
      <c r="J218" s="7"/>
    </row>
    <row r="219" spans="2:10" x14ac:dyDescent="0.15">
      <c r="B219"/>
      <c r="C219"/>
      <c r="D219"/>
      <c r="E219"/>
      <c r="F219" s="7"/>
      <c r="G219" s="7"/>
      <c r="H219" s="7"/>
      <c r="I219" s="7"/>
      <c r="J219" s="7"/>
    </row>
    <row r="220" spans="2:10" x14ac:dyDescent="0.15">
      <c r="B220"/>
      <c r="C220"/>
      <c r="D220"/>
      <c r="E220"/>
      <c r="F220" s="7"/>
      <c r="G220" s="7"/>
      <c r="H220" s="7"/>
      <c r="I220" s="7"/>
      <c r="J220" s="7"/>
    </row>
    <row r="221" spans="2:10" x14ac:dyDescent="0.15">
      <c r="B221"/>
      <c r="C221"/>
      <c r="D221"/>
      <c r="E221"/>
      <c r="F221" s="7"/>
      <c r="G221" s="7"/>
      <c r="H221" s="7"/>
      <c r="I221" s="7"/>
      <c r="J221" s="7"/>
    </row>
    <row r="222" spans="2:10" x14ac:dyDescent="0.15">
      <c r="B222"/>
      <c r="C222"/>
      <c r="D222"/>
      <c r="E222"/>
      <c r="F222" s="7"/>
      <c r="G222" s="7"/>
      <c r="H222" s="7"/>
      <c r="I222" s="7"/>
      <c r="J222" s="7"/>
    </row>
    <row r="223" spans="2:10" x14ac:dyDescent="0.15">
      <c r="B223"/>
      <c r="C223"/>
      <c r="D223"/>
      <c r="E223"/>
      <c r="F223" s="7"/>
      <c r="G223" s="7"/>
      <c r="H223" s="7"/>
      <c r="I223" s="7"/>
      <c r="J223" s="7"/>
    </row>
    <row r="224" spans="2:10" x14ac:dyDescent="0.15">
      <c r="B224"/>
      <c r="C224"/>
      <c r="D224"/>
      <c r="E224"/>
      <c r="F224" s="7"/>
      <c r="G224" s="7"/>
      <c r="H224" s="7"/>
      <c r="I224" s="7"/>
      <c r="J224" s="7"/>
    </row>
    <row r="225" spans="2:10" x14ac:dyDescent="0.15">
      <c r="B225"/>
      <c r="C225"/>
      <c r="D225"/>
      <c r="E225"/>
      <c r="F225" s="7"/>
      <c r="G225" s="7"/>
      <c r="H225" s="7"/>
      <c r="I225" s="7"/>
      <c r="J225" s="7"/>
    </row>
    <row r="226" spans="2:10" x14ac:dyDescent="0.15">
      <c r="B226"/>
      <c r="C226"/>
      <c r="D226"/>
      <c r="E226"/>
      <c r="F226" s="7"/>
      <c r="G226" s="7"/>
      <c r="H226" s="7"/>
      <c r="I226" s="7"/>
      <c r="J226" s="7"/>
    </row>
    <row r="227" spans="2:10" x14ac:dyDescent="0.15">
      <c r="B227"/>
      <c r="C227"/>
      <c r="D227"/>
      <c r="E227"/>
      <c r="F227" s="7"/>
      <c r="G227" s="7"/>
      <c r="H227" s="7"/>
      <c r="I227" s="7"/>
      <c r="J227" s="7"/>
    </row>
    <row r="228" spans="2:10" x14ac:dyDescent="0.15">
      <c r="B228"/>
      <c r="C228"/>
      <c r="D228"/>
      <c r="E228"/>
      <c r="F228" s="7"/>
      <c r="G228" s="7"/>
      <c r="H228" s="7"/>
      <c r="I228" s="7"/>
      <c r="J228" s="7"/>
    </row>
    <row r="229" spans="2:10" x14ac:dyDescent="0.15">
      <c r="B229"/>
      <c r="C229"/>
      <c r="D229"/>
      <c r="E229"/>
      <c r="F229" s="7"/>
      <c r="G229" s="7"/>
      <c r="H229" s="7"/>
      <c r="I229" s="7"/>
      <c r="J229" s="7"/>
    </row>
    <row r="230" spans="2:10" x14ac:dyDescent="0.15">
      <c r="B230"/>
      <c r="C230"/>
      <c r="D230"/>
      <c r="E230"/>
      <c r="F230" s="7"/>
      <c r="G230" s="7"/>
      <c r="H230" s="7"/>
      <c r="I230" s="7"/>
      <c r="J230" s="7"/>
    </row>
    <row r="231" spans="2:10" x14ac:dyDescent="0.15">
      <c r="B231"/>
      <c r="C231"/>
      <c r="D231"/>
      <c r="E231"/>
      <c r="F231" s="7"/>
      <c r="G231" s="7"/>
      <c r="H231" s="7"/>
      <c r="I231" s="7"/>
      <c r="J231" s="7"/>
    </row>
    <row r="232" spans="2:10" x14ac:dyDescent="0.15">
      <c r="B232"/>
      <c r="C232"/>
      <c r="D232"/>
      <c r="E232"/>
      <c r="F232" s="7"/>
      <c r="G232" s="7"/>
      <c r="H232" s="7"/>
      <c r="I232" s="7"/>
      <c r="J232" s="7"/>
    </row>
    <row r="233" spans="2:10" x14ac:dyDescent="0.15">
      <c r="B233"/>
      <c r="C233"/>
      <c r="D233"/>
      <c r="E233"/>
      <c r="F233" s="7"/>
      <c r="G233" s="7"/>
      <c r="H233" s="7"/>
      <c r="I233" s="7"/>
      <c r="J233" s="7"/>
    </row>
    <row r="234" spans="2:10" x14ac:dyDescent="0.15">
      <c r="B234"/>
      <c r="C234"/>
      <c r="D234"/>
      <c r="E234"/>
      <c r="F234" s="7"/>
      <c r="G234" s="7"/>
      <c r="H234" s="7"/>
      <c r="I234" s="7"/>
      <c r="J234" s="7"/>
    </row>
    <row r="235" spans="2:10" x14ac:dyDescent="0.15">
      <c r="B235"/>
      <c r="C235"/>
      <c r="D235"/>
      <c r="E235"/>
      <c r="F235" s="7"/>
      <c r="G235" s="7"/>
      <c r="H235" s="7"/>
      <c r="I235" s="7"/>
      <c r="J235" s="7"/>
    </row>
    <row r="236" spans="2:10" x14ac:dyDescent="0.15">
      <c r="B236"/>
      <c r="C236"/>
      <c r="D236"/>
      <c r="E236"/>
      <c r="F236" s="7"/>
      <c r="G236" s="7"/>
      <c r="H236" s="7"/>
      <c r="I236" s="7"/>
      <c r="J236" s="7"/>
    </row>
    <row r="237" spans="2:10" x14ac:dyDescent="0.15">
      <c r="B237"/>
      <c r="C237"/>
      <c r="D237"/>
      <c r="E237"/>
      <c r="F237" s="7"/>
      <c r="G237" s="7"/>
      <c r="H237" s="7"/>
      <c r="I237" s="7"/>
      <c r="J237" s="7"/>
    </row>
    <row r="238" spans="2:10" x14ac:dyDescent="0.15">
      <c r="B238"/>
      <c r="C238"/>
      <c r="D238"/>
      <c r="E238"/>
      <c r="F238" s="7"/>
      <c r="G238" s="7"/>
      <c r="H238" s="7"/>
      <c r="I238" s="7"/>
      <c r="J238" s="7"/>
    </row>
    <row r="239" spans="2:10" x14ac:dyDescent="0.15">
      <c r="B239"/>
      <c r="C239"/>
      <c r="D239"/>
      <c r="E239"/>
      <c r="F239" s="7"/>
      <c r="G239" s="7"/>
      <c r="H239" s="7"/>
      <c r="I239" s="7"/>
      <c r="J239" s="7"/>
    </row>
    <row r="240" spans="2:10" x14ac:dyDescent="0.15">
      <c r="B240"/>
      <c r="C240"/>
      <c r="D240"/>
      <c r="E240"/>
      <c r="F240" s="7"/>
      <c r="G240" s="7"/>
      <c r="H240" s="7"/>
      <c r="I240" s="7"/>
      <c r="J240" s="7"/>
    </row>
    <row r="241" spans="2:10" x14ac:dyDescent="0.15">
      <c r="B241"/>
      <c r="C241"/>
      <c r="D241"/>
      <c r="E241"/>
      <c r="F241" s="7"/>
      <c r="G241" s="7"/>
      <c r="H241" s="7"/>
      <c r="I241" s="7"/>
      <c r="J241" s="7"/>
    </row>
    <row r="242" spans="2:10" x14ac:dyDescent="0.15">
      <c r="B242"/>
      <c r="C242"/>
      <c r="D242"/>
      <c r="E242"/>
      <c r="F242" s="7"/>
      <c r="G242" s="7"/>
      <c r="H242" s="7"/>
      <c r="I242" s="7"/>
      <c r="J242" s="7"/>
    </row>
    <row r="243" spans="2:10" x14ac:dyDescent="0.15">
      <c r="B243"/>
      <c r="C243"/>
      <c r="D243"/>
      <c r="E243"/>
      <c r="F243" s="7"/>
      <c r="G243" s="7"/>
      <c r="H243" s="7"/>
      <c r="I243" s="7"/>
      <c r="J243" s="7"/>
    </row>
    <row r="244" spans="2:10" x14ac:dyDescent="0.15">
      <c r="B244"/>
      <c r="C244"/>
      <c r="D244"/>
      <c r="E244"/>
      <c r="F244" s="7"/>
      <c r="G244" s="7"/>
      <c r="H244" s="7"/>
      <c r="I244" s="7"/>
      <c r="J244" s="7"/>
    </row>
    <row r="245" spans="2:10" x14ac:dyDescent="0.15">
      <c r="B245"/>
      <c r="C245"/>
      <c r="D245"/>
      <c r="E245"/>
      <c r="F245" s="7"/>
      <c r="G245" s="7"/>
      <c r="H245" s="7"/>
      <c r="I245" s="7"/>
      <c r="J245" s="7"/>
    </row>
    <row r="246" spans="2:10" x14ac:dyDescent="0.15">
      <c r="B246"/>
      <c r="C246"/>
      <c r="D246"/>
      <c r="E246"/>
      <c r="F246" s="7"/>
      <c r="G246" s="7"/>
      <c r="H246" s="7"/>
      <c r="I246" s="7"/>
      <c r="J246" s="7"/>
    </row>
    <row r="247" spans="2:10" x14ac:dyDescent="0.15">
      <c r="B247"/>
      <c r="C247"/>
      <c r="D247"/>
      <c r="E247"/>
      <c r="F247" s="7"/>
      <c r="G247" s="7"/>
      <c r="H247" s="7"/>
      <c r="I247" s="7"/>
      <c r="J247" s="7"/>
    </row>
    <row r="248" spans="2:10" x14ac:dyDescent="0.15">
      <c r="B248"/>
      <c r="C248"/>
      <c r="D248"/>
      <c r="E248"/>
      <c r="F248" s="7"/>
      <c r="G248" s="7"/>
      <c r="H248" s="7"/>
      <c r="I248" s="7"/>
      <c r="J248" s="7"/>
    </row>
    <row r="249" spans="2:10" x14ac:dyDescent="0.15">
      <c r="B249"/>
      <c r="C249"/>
      <c r="D249"/>
      <c r="E249"/>
      <c r="F249" s="7"/>
      <c r="G249" s="7"/>
      <c r="H249" s="7"/>
      <c r="I249" s="7"/>
      <c r="J249" s="7"/>
    </row>
    <row r="250" spans="2:10" x14ac:dyDescent="0.15">
      <c r="B250"/>
      <c r="C250"/>
      <c r="D250"/>
      <c r="E250"/>
      <c r="F250" s="7"/>
      <c r="G250" s="7"/>
      <c r="H250" s="7"/>
      <c r="I250" s="7"/>
      <c r="J250" s="7"/>
    </row>
    <row r="251" spans="2:10" x14ac:dyDescent="0.15">
      <c r="B251"/>
      <c r="C251"/>
      <c r="D251"/>
      <c r="E251"/>
      <c r="F251" s="7"/>
      <c r="G251" s="7"/>
      <c r="H251" s="7"/>
      <c r="I251" s="7"/>
      <c r="J251" s="7"/>
    </row>
    <row r="252" spans="2:10" x14ac:dyDescent="0.15">
      <c r="B252"/>
      <c r="C252"/>
      <c r="D252"/>
      <c r="E252"/>
      <c r="F252" s="7"/>
      <c r="G252" s="7"/>
      <c r="H252" s="7"/>
      <c r="I252" s="7"/>
      <c r="J252" s="7"/>
    </row>
    <row r="253" spans="2:10" x14ac:dyDescent="0.15">
      <c r="B253"/>
      <c r="C253"/>
      <c r="D253"/>
      <c r="E253"/>
      <c r="F253" s="7"/>
      <c r="G253" s="7"/>
      <c r="H253" s="7"/>
      <c r="I253" s="7"/>
      <c r="J253" s="7"/>
    </row>
    <row r="254" spans="2:10" x14ac:dyDescent="0.15">
      <c r="B254"/>
      <c r="C254"/>
      <c r="D254"/>
      <c r="E254"/>
      <c r="F254" s="7"/>
      <c r="G254" s="7"/>
      <c r="H254" s="7"/>
      <c r="I254" s="7"/>
      <c r="J254" s="7"/>
    </row>
    <row r="255" spans="2:10" x14ac:dyDescent="0.15">
      <c r="B255"/>
      <c r="C255"/>
      <c r="D255"/>
      <c r="E255"/>
      <c r="F255" s="7"/>
      <c r="G255" s="7"/>
      <c r="H255" s="7"/>
      <c r="I255" s="7"/>
      <c r="J255" s="7"/>
    </row>
    <row r="256" spans="2:10" x14ac:dyDescent="0.15">
      <c r="B256"/>
      <c r="C256"/>
      <c r="D256"/>
      <c r="E256"/>
      <c r="F256" s="7"/>
      <c r="G256" s="7"/>
      <c r="H256" s="7"/>
      <c r="I256" s="7"/>
      <c r="J256" s="7"/>
    </row>
    <row r="257" spans="2:10" x14ac:dyDescent="0.15">
      <c r="B257"/>
      <c r="C257"/>
      <c r="D257"/>
      <c r="E257"/>
      <c r="F257" s="7"/>
      <c r="G257" s="7"/>
      <c r="H257" s="7"/>
      <c r="I257" s="7"/>
      <c r="J257" s="7"/>
    </row>
    <row r="258" spans="2:10" x14ac:dyDescent="0.15">
      <c r="B258"/>
      <c r="C258"/>
      <c r="D258"/>
      <c r="E258"/>
      <c r="F258" s="7"/>
      <c r="G258" s="7"/>
      <c r="H258" s="7"/>
      <c r="I258" s="7"/>
      <c r="J258" s="7"/>
    </row>
    <row r="259" spans="2:10" x14ac:dyDescent="0.15">
      <c r="B259"/>
      <c r="C259"/>
      <c r="D259"/>
      <c r="E259"/>
      <c r="F259" s="7"/>
      <c r="G259" s="7"/>
      <c r="H259" s="7"/>
      <c r="I259" s="7"/>
      <c r="J259" s="7"/>
    </row>
    <row r="260" spans="2:10" x14ac:dyDescent="0.15">
      <c r="B260"/>
      <c r="C260"/>
      <c r="D260"/>
      <c r="E260"/>
      <c r="F260" s="7"/>
      <c r="G260" s="7"/>
      <c r="H260" s="7"/>
      <c r="I260" s="7"/>
      <c r="J260" s="7"/>
    </row>
    <row r="261" spans="2:10" x14ac:dyDescent="0.15">
      <c r="B261"/>
      <c r="C261"/>
      <c r="D261"/>
      <c r="E261"/>
      <c r="F261" s="7"/>
      <c r="G261" s="7"/>
      <c r="H261" s="7"/>
      <c r="I261" s="7"/>
      <c r="J261" s="7"/>
    </row>
    <row r="262" spans="2:10" x14ac:dyDescent="0.15">
      <c r="B262"/>
      <c r="C262"/>
      <c r="D262"/>
      <c r="E262"/>
      <c r="F262" s="7"/>
      <c r="G262" s="7"/>
      <c r="H262" s="7"/>
      <c r="I262" s="7"/>
      <c r="J262" s="7"/>
    </row>
    <row r="263" spans="2:10" x14ac:dyDescent="0.15">
      <c r="B263"/>
      <c r="C263"/>
      <c r="D263"/>
      <c r="E263"/>
      <c r="F263" s="7"/>
      <c r="G263" s="7"/>
      <c r="H263" s="7"/>
      <c r="I263" s="7"/>
      <c r="J263" s="7"/>
    </row>
    <row r="264" spans="2:10" x14ac:dyDescent="0.15">
      <c r="B264"/>
      <c r="C264"/>
      <c r="D264"/>
      <c r="E264"/>
      <c r="F264" s="7"/>
      <c r="G264" s="7"/>
      <c r="H264" s="7"/>
      <c r="I264" s="7"/>
      <c r="J264" s="7"/>
    </row>
    <row r="265" spans="2:10" x14ac:dyDescent="0.15">
      <c r="B265"/>
      <c r="C265"/>
      <c r="D265"/>
      <c r="E265"/>
      <c r="F265" s="7"/>
      <c r="G265" s="7"/>
      <c r="H265" s="7"/>
      <c r="I265" s="7"/>
      <c r="J265" s="7"/>
    </row>
    <row r="266" spans="2:10" x14ac:dyDescent="0.15">
      <c r="B266"/>
      <c r="C266"/>
      <c r="D266"/>
      <c r="E266"/>
      <c r="F266" s="7"/>
      <c r="G266" s="7"/>
      <c r="H266" s="7"/>
      <c r="I266" s="7"/>
      <c r="J266" s="7"/>
    </row>
    <row r="267" spans="2:10" x14ac:dyDescent="0.15">
      <c r="B267"/>
      <c r="C267"/>
      <c r="D267"/>
      <c r="E267"/>
      <c r="F267" s="7"/>
      <c r="G267" s="7"/>
      <c r="H267" s="7"/>
      <c r="I267" s="7"/>
      <c r="J267" s="7"/>
    </row>
    <row r="268" spans="2:10" x14ac:dyDescent="0.15">
      <c r="B268"/>
      <c r="C268"/>
      <c r="D268"/>
      <c r="E268"/>
      <c r="F268" s="7"/>
      <c r="G268" s="7"/>
      <c r="H268" s="7"/>
      <c r="I268" s="7"/>
      <c r="J268" s="7"/>
    </row>
    <row r="269" spans="2:10" x14ac:dyDescent="0.15">
      <c r="B269"/>
      <c r="C269"/>
      <c r="D269"/>
      <c r="E269"/>
      <c r="F269" s="7"/>
      <c r="G269" s="7"/>
      <c r="H269" s="7"/>
      <c r="I269" s="7"/>
      <c r="J269" s="7"/>
    </row>
    <row r="270" spans="2:10" x14ac:dyDescent="0.15">
      <c r="B270"/>
      <c r="C270"/>
      <c r="D270"/>
      <c r="E270"/>
      <c r="F270" s="7"/>
      <c r="G270" s="7"/>
      <c r="H270" s="7"/>
      <c r="I270" s="7"/>
      <c r="J270" s="7"/>
    </row>
    <row r="271" spans="2:10" x14ac:dyDescent="0.15">
      <c r="B271"/>
      <c r="C271"/>
      <c r="D271"/>
      <c r="E271"/>
      <c r="F271" s="7"/>
      <c r="G271" s="7"/>
      <c r="H271" s="7"/>
      <c r="I271" s="7"/>
      <c r="J271" s="7"/>
    </row>
    <row r="272" spans="2:10" x14ac:dyDescent="0.15">
      <c r="B272"/>
      <c r="C272"/>
      <c r="D272"/>
      <c r="E272"/>
      <c r="F272" s="7"/>
      <c r="G272" s="7"/>
      <c r="H272" s="7"/>
      <c r="I272" s="7"/>
      <c r="J272" s="7"/>
    </row>
    <row r="273" spans="2:10" x14ac:dyDescent="0.15">
      <c r="B273"/>
      <c r="C273"/>
      <c r="D273"/>
      <c r="E273"/>
      <c r="F273" s="7"/>
      <c r="G273" s="7"/>
      <c r="H273" s="7"/>
      <c r="I273" s="7"/>
      <c r="J273" s="7"/>
    </row>
    <row r="274" spans="2:10" x14ac:dyDescent="0.15">
      <c r="B274"/>
      <c r="C274"/>
      <c r="D274"/>
      <c r="E274"/>
      <c r="F274" s="7"/>
      <c r="G274" s="7"/>
      <c r="H274" s="7"/>
      <c r="I274" s="7"/>
      <c r="J274" s="7"/>
    </row>
    <row r="275" spans="2:10" x14ac:dyDescent="0.15">
      <c r="B275"/>
      <c r="C275"/>
      <c r="D275"/>
      <c r="E275"/>
      <c r="F275" s="7"/>
      <c r="G275" s="7"/>
      <c r="H275" s="7"/>
      <c r="I275" s="7"/>
      <c r="J275" s="7"/>
    </row>
    <row r="276" spans="2:10" x14ac:dyDescent="0.15">
      <c r="B276"/>
      <c r="C276"/>
      <c r="D276"/>
      <c r="E276"/>
      <c r="F276" s="7"/>
      <c r="G276" s="7"/>
      <c r="H276" s="7"/>
      <c r="I276" s="7"/>
      <c r="J276" s="7"/>
    </row>
    <row r="277" spans="2:10" x14ac:dyDescent="0.15">
      <c r="B277"/>
      <c r="C277"/>
      <c r="D277"/>
      <c r="E277"/>
      <c r="F277" s="7"/>
      <c r="G277" s="7"/>
      <c r="H277" s="7"/>
      <c r="I277" s="7"/>
      <c r="J277" s="7"/>
    </row>
    <row r="278" spans="2:10" x14ac:dyDescent="0.15">
      <c r="B278"/>
      <c r="C278"/>
      <c r="D278"/>
      <c r="E278"/>
      <c r="F278" s="7"/>
      <c r="G278" s="7"/>
      <c r="H278" s="7"/>
      <c r="I278" s="7"/>
      <c r="J278" s="7"/>
    </row>
    <row r="279" spans="2:10" x14ac:dyDescent="0.15">
      <c r="B279"/>
      <c r="C279"/>
      <c r="D279"/>
      <c r="E279"/>
      <c r="F279" s="7"/>
      <c r="G279" s="7"/>
      <c r="H279" s="7"/>
      <c r="I279" s="7"/>
      <c r="J279" s="7"/>
    </row>
    <row r="280" spans="2:10" x14ac:dyDescent="0.15">
      <c r="B280"/>
      <c r="C280"/>
      <c r="D280"/>
      <c r="E280"/>
      <c r="F280" s="7"/>
      <c r="G280" s="7"/>
      <c r="H280" s="7"/>
      <c r="I280" s="7"/>
      <c r="J280" s="7"/>
    </row>
    <row r="281" spans="2:10" x14ac:dyDescent="0.15">
      <c r="B281"/>
      <c r="C281"/>
      <c r="D281"/>
      <c r="E281"/>
      <c r="F281" s="7"/>
      <c r="G281" s="7"/>
      <c r="H281" s="7"/>
      <c r="I281" s="7"/>
      <c r="J281" s="7"/>
    </row>
    <row r="282" spans="2:10" x14ac:dyDescent="0.15">
      <c r="B282"/>
      <c r="C282"/>
      <c r="D282"/>
      <c r="E282"/>
      <c r="F282" s="7"/>
      <c r="G282" s="7"/>
      <c r="H282" s="7"/>
      <c r="I282" s="7"/>
      <c r="J282" s="7"/>
    </row>
    <row r="283" spans="2:10" x14ac:dyDescent="0.15">
      <c r="B283"/>
      <c r="C283"/>
      <c r="D283"/>
      <c r="E283"/>
      <c r="F283" s="7"/>
      <c r="G283" s="7"/>
      <c r="H283" s="7"/>
      <c r="I283" s="7"/>
      <c r="J283" s="7"/>
    </row>
    <row r="284" spans="2:10" x14ac:dyDescent="0.15">
      <c r="B284"/>
      <c r="C284"/>
      <c r="D284"/>
      <c r="E284"/>
      <c r="F284" s="7"/>
      <c r="G284" s="7"/>
      <c r="H284" s="7"/>
      <c r="I284" s="7"/>
      <c r="J284" s="7"/>
    </row>
    <row r="285" spans="2:10" x14ac:dyDescent="0.15">
      <c r="B285"/>
      <c r="C285"/>
      <c r="D285"/>
      <c r="E285"/>
      <c r="F285" s="7"/>
      <c r="G285" s="7"/>
      <c r="H285" s="7"/>
      <c r="I285" s="7"/>
      <c r="J285" s="7"/>
    </row>
    <row r="286" spans="2:10" x14ac:dyDescent="0.15">
      <c r="B286"/>
      <c r="C286"/>
      <c r="D286"/>
      <c r="E286"/>
      <c r="F286" s="7"/>
      <c r="G286" s="7"/>
      <c r="H286" s="7"/>
      <c r="I286" s="7"/>
      <c r="J286" s="7"/>
    </row>
    <row r="287" spans="2:10" x14ac:dyDescent="0.15">
      <c r="B287"/>
      <c r="C287"/>
      <c r="D287"/>
      <c r="E287"/>
      <c r="F287" s="7"/>
      <c r="G287" s="7"/>
      <c r="H287" s="7"/>
      <c r="I287" s="7"/>
      <c r="J287" s="7"/>
    </row>
    <row r="288" spans="2:10" x14ac:dyDescent="0.15">
      <c r="B288"/>
      <c r="C288"/>
      <c r="D288"/>
      <c r="E288"/>
      <c r="F288" s="7"/>
      <c r="G288" s="7"/>
      <c r="H288" s="7"/>
      <c r="I288" s="7"/>
      <c r="J288" s="7"/>
    </row>
    <row r="289" spans="2:10" x14ac:dyDescent="0.15">
      <c r="B289"/>
      <c r="C289"/>
      <c r="D289"/>
      <c r="E289"/>
      <c r="F289" s="7"/>
      <c r="G289" s="7"/>
      <c r="H289" s="7"/>
      <c r="I289" s="7"/>
      <c r="J289" s="7"/>
    </row>
    <row r="290" spans="2:10" x14ac:dyDescent="0.15">
      <c r="B290"/>
      <c r="C290"/>
      <c r="D290"/>
      <c r="E290"/>
      <c r="F290" s="7"/>
      <c r="G290" s="7"/>
      <c r="H290" s="7"/>
      <c r="I290" s="7"/>
      <c r="J290" s="7"/>
    </row>
    <row r="291" spans="2:10" x14ac:dyDescent="0.15">
      <c r="B291"/>
      <c r="C291"/>
      <c r="D291"/>
      <c r="E291"/>
      <c r="F291" s="7"/>
      <c r="G291" s="7"/>
      <c r="H291" s="7"/>
      <c r="I291" s="7"/>
      <c r="J291" s="7"/>
    </row>
    <row r="292" spans="2:10" x14ac:dyDescent="0.15">
      <c r="B292"/>
      <c r="C292"/>
      <c r="D292"/>
      <c r="E292"/>
      <c r="F292" s="7"/>
      <c r="G292" s="7"/>
      <c r="H292" s="7"/>
      <c r="I292" s="7"/>
      <c r="J292" s="7"/>
    </row>
    <row r="293" spans="2:10" x14ac:dyDescent="0.15">
      <c r="B293"/>
      <c r="C293"/>
      <c r="D293"/>
      <c r="E293"/>
      <c r="F293" s="7"/>
      <c r="G293" s="7"/>
      <c r="H293" s="7"/>
      <c r="I293" s="7"/>
      <c r="J293" s="7"/>
    </row>
    <row r="294" spans="2:10" x14ac:dyDescent="0.15">
      <c r="B294"/>
      <c r="C294"/>
      <c r="D294"/>
      <c r="E294"/>
      <c r="F294" s="7"/>
      <c r="G294" s="7"/>
      <c r="H294" s="7"/>
      <c r="I294" s="7"/>
      <c r="J294" s="7"/>
    </row>
    <row r="295" spans="2:10" x14ac:dyDescent="0.15">
      <c r="B295"/>
      <c r="C295"/>
      <c r="D295"/>
      <c r="E295"/>
      <c r="F295" s="7"/>
      <c r="G295" s="7"/>
      <c r="H295" s="7"/>
      <c r="I295" s="7"/>
      <c r="J295" s="7"/>
    </row>
    <row r="296" spans="2:10" x14ac:dyDescent="0.15">
      <c r="B296"/>
      <c r="C296"/>
      <c r="D296"/>
      <c r="E296"/>
      <c r="F296" s="7"/>
      <c r="G296" s="7"/>
      <c r="H296" s="7"/>
      <c r="I296" s="7"/>
      <c r="J296" s="7"/>
    </row>
    <row r="297" spans="2:10" x14ac:dyDescent="0.15">
      <c r="B297"/>
      <c r="C297"/>
      <c r="D297"/>
      <c r="E297"/>
      <c r="F297" s="7"/>
      <c r="G297" s="7"/>
      <c r="H297" s="7"/>
      <c r="I297" s="7"/>
      <c r="J297" s="7"/>
    </row>
    <row r="298" spans="2:10" x14ac:dyDescent="0.15">
      <c r="B298"/>
      <c r="C298"/>
      <c r="D298"/>
      <c r="E298"/>
      <c r="F298" s="7"/>
      <c r="G298" s="7"/>
      <c r="H298" s="7"/>
      <c r="I298" s="7"/>
      <c r="J298" s="7"/>
    </row>
    <row r="299" spans="2:10" x14ac:dyDescent="0.15">
      <c r="B299"/>
      <c r="C299"/>
      <c r="D299"/>
      <c r="E299"/>
      <c r="F299" s="7"/>
      <c r="G299" s="7"/>
      <c r="H299" s="7"/>
      <c r="I299" s="7"/>
      <c r="J299" s="7"/>
    </row>
    <row r="300" spans="2:10" x14ac:dyDescent="0.15">
      <c r="B300"/>
      <c r="C300"/>
      <c r="D300"/>
      <c r="E300"/>
      <c r="F300" s="7"/>
      <c r="G300" s="7"/>
      <c r="H300" s="7"/>
      <c r="I300" s="7"/>
      <c r="J300" s="7"/>
    </row>
    <row r="301" spans="2:10" x14ac:dyDescent="0.15">
      <c r="B301"/>
      <c r="C301"/>
      <c r="D301"/>
      <c r="E301"/>
      <c r="F301" s="7"/>
      <c r="G301" s="7"/>
      <c r="H301" s="7"/>
      <c r="I301" s="7"/>
      <c r="J301" s="7"/>
    </row>
    <row r="302" spans="2:10" x14ac:dyDescent="0.15">
      <c r="B302"/>
      <c r="C302"/>
      <c r="D302"/>
      <c r="E302"/>
      <c r="F302" s="7"/>
      <c r="G302" s="7"/>
      <c r="H302" s="7"/>
      <c r="I302" s="7"/>
      <c r="J302" s="7"/>
    </row>
    <row r="303" spans="2:10" x14ac:dyDescent="0.15">
      <c r="B303"/>
      <c r="C303"/>
      <c r="D303"/>
      <c r="E303"/>
      <c r="F303" s="7"/>
      <c r="G303" s="7"/>
      <c r="H303" s="7"/>
      <c r="I303" s="7"/>
      <c r="J303" s="7"/>
    </row>
    <row r="304" spans="2:10" x14ac:dyDescent="0.15">
      <c r="B304"/>
      <c r="C304"/>
      <c r="D304"/>
      <c r="E304"/>
      <c r="F304" s="7"/>
      <c r="G304" s="7"/>
      <c r="H304" s="7"/>
      <c r="I304" s="7"/>
      <c r="J304" s="7"/>
    </row>
    <row r="305" spans="2:10" x14ac:dyDescent="0.15">
      <c r="B305"/>
      <c r="C305"/>
      <c r="D305"/>
      <c r="E305"/>
      <c r="F305" s="7"/>
      <c r="G305" s="7"/>
      <c r="H305" s="7"/>
      <c r="I305" s="7"/>
      <c r="J305" s="7"/>
    </row>
    <row r="306" spans="2:10" x14ac:dyDescent="0.15">
      <c r="B306"/>
      <c r="C306"/>
      <c r="D306"/>
      <c r="E306"/>
      <c r="F306" s="7"/>
      <c r="G306" s="7"/>
      <c r="H306" s="7"/>
      <c r="I306" s="7"/>
      <c r="J306" s="7"/>
    </row>
    <row r="307" spans="2:10" x14ac:dyDescent="0.15">
      <c r="B307"/>
      <c r="C307"/>
      <c r="D307"/>
      <c r="E307"/>
      <c r="F307" s="7"/>
      <c r="G307" s="7"/>
      <c r="H307" s="7"/>
      <c r="I307" s="7"/>
      <c r="J307" s="7"/>
    </row>
    <row r="308" spans="2:10" x14ac:dyDescent="0.15">
      <c r="B308"/>
      <c r="C308"/>
      <c r="D308"/>
      <c r="E308"/>
      <c r="F308" s="7"/>
      <c r="G308" s="7"/>
      <c r="H308" s="7"/>
      <c r="I308" s="7"/>
      <c r="J308" s="7"/>
    </row>
    <row r="309" spans="2:10" x14ac:dyDescent="0.15">
      <c r="B309"/>
      <c r="C309"/>
      <c r="D309"/>
      <c r="E309"/>
      <c r="F309" s="7"/>
      <c r="G309" s="7"/>
      <c r="H309" s="7"/>
      <c r="I309" s="7"/>
      <c r="J309" s="7"/>
    </row>
    <row r="310" spans="2:10" x14ac:dyDescent="0.15">
      <c r="B310"/>
      <c r="C310"/>
      <c r="D310"/>
      <c r="E310"/>
      <c r="F310" s="7"/>
      <c r="G310" s="7"/>
      <c r="H310" s="7"/>
      <c r="I310" s="7"/>
      <c r="J310" s="7"/>
    </row>
    <row r="311" spans="2:10" x14ac:dyDescent="0.15">
      <c r="B311"/>
      <c r="C311"/>
      <c r="D311"/>
      <c r="E311"/>
      <c r="F311" s="7"/>
      <c r="G311" s="7"/>
      <c r="H311" s="7"/>
      <c r="I311" s="7"/>
      <c r="J311" s="7"/>
    </row>
    <row r="312" spans="2:10" x14ac:dyDescent="0.15">
      <c r="B312"/>
      <c r="C312"/>
      <c r="D312"/>
      <c r="E312"/>
      <c r="F312" s="7"/>
      <c r="G312" s="7"/>
      <c r="H312" s="7"/>
      <c r="I312" s="7"/>
      <c r="J312" s="7"/>
    </row>
    <row r="313" spans="2:10" x14ac:dyDescent="0.15">
      <c r="B313"/>
      <c r="C313"/>
      <c r="D313"/>
      <c r="E313"/>
      <c r="F313" s="7"/>
      <c r="G313" s="7"/>
      <c r="H313" s="7"/>
      <c r="I313" s="7"/>
      <c r="J313" s="7"/>
    </row>
    <row r="314" spans="2:10" x14ac:dyDescent="0.15">
      <c r="B314"/>
      <c r="C314"/>
      <c r="D314"/>
      <c r="E314"/>
      <c r="F314" s="7"/>
      <c r="G314" s="7"/>
      <c r="H314" s="7"/>
      <c r="I314" s="7"/>
      <c r="J314" s="7"/>
    </row>
    <row r="315" spans="2:10" x14ac:dyDescent="0.15">
      <c r="B315"/>
      <c r="C315"/>
      <c r="D315"/>
      <c r="E315"/>
      <c r="F315" s="7"/>
      <c r="G315" s="7"/>
      <c r="H315" s="7"/>
      <c r="I315" s="7"/>
      <c r="J315" s="7"/>
    </row>
    <row r="316" spans="2:10" x14ac:dyDescent="0.15">
      <c r="B316"/>
      <c r="C316"/>
      <c r="D316"/>
      <c r="E316"/>
      <c r="F316" s="7"/>
      <c r="G316" s="7"/>
      <c r="H316" s="7"/>
      <c r="I316" s="7"/>
      <c r="J316" s="7"/>
    </row>
    <row r="317" spans="2:10" x14ac:dyDescent="0.15">
      <c r="B317"/>
      <c r="C317"/>
      <c r="D317"/>
      <c r="E317"/>
      <c r="F317" s="7"/>
      <c r="G317" s="7"/>
      <c r="H317" s="7"/>
      <c r="I317" s="7"/>
      <c r="J317" s="7"/>
    </row>
    <row r="318" spans="2:10" x14ac:dyDescent="0.15">
      <c r="B318"/>
      <c r="C318"/>
      <c r="D318"/>
      <c r="E318"/>
      <c r="F318" s="7"/>
      <c r="G318" s="7"/>
      <c r="H318" s="7"/>
      <c r="I318" s="7"/>
      <c r="J318" s="7"/>
    </row>
    <row r="319" spans="2:10" x14ac:dyDescent="0.15">
      <c r="B319"/>
      <c r="C319"/>
      <c r="D319"/>
      <c r="E319"/>
      <c r="F319" s="7"/>
      <c r="G319" s="7"/>
      <c r="H319" s="7"/>
      <c r="I319" s="7"/>
      <c r="J319" s="7"/>
    </row>
    <row r="320" spans="2:10" x14ac:dyDescent="0.15">
      <c r="B320"/>
      <c r="C320"/>
      <c r="D320"/>
      <c r="E320"/>
      <c r="F320" s="7"/>
      <c r="G320" s="7"/>
      <c r="H320" s="7"/>
      <c r="I320" s="7"/>
      <c r="J320" s="7"/>
    </row>
    <row r="321" spans="2:10" x14ac:dyDescent="0.15">
      <c r="B321"/>
      <c r="C321"/>
      <c r="D321"/>
      <c r="E321"/>
      <c r="F321" s="7"/>
      <c r="G321" s="7"/>
      <c r="H321" s="7"/>
      <c r="I321" s="7"/>
      <c r="J321" s="7"/>
    </row>
    <row r="322" spans="2:10" x14ac:dyDescent="0.15">
      <c r="B322"/>
      <c r="C322"/>
      <c r="D322"/>
      <c r="E322"/>
      <c r="F322" s="7"/>
      <c r="G322" s="7"/>
      <c r="H322" s="7"/>
      <c r="I322" s="7"/>
      <c r="J322" s="7"/>
    </row>
    <row r="323" spans="2:10" x14ac:dyDescent="0.15">
      <c r="B323"/>
      <c r="C323"/>
      <c r="D323"/>
      <c r="E323"/>
      <c r="F323" s="7"/>
      <c r="G323" s="7"/>
      <c r="H323" s="7"/>
      <c r="I323" s="7"/>
      <c r="J323" s="7"/>
    </row>
    <row r="324" spans="2:10" x14ac:dyDescent="0.15">
      <c r="B324"/>
      <c r="C324"/>
      <c r="D324"/>
      <c r="E324"/>
      <c r="F324" s="7"/>
      <c r="G324" s="7"/>
      <c r="H324" s="7"/>
      <c r="I324" s="7"/>
      <c r="J324" s="7"/>
    </row>
    <row r="325" spans="2:10" x14ac:dyDescent="0.15">
      <c r="B325"/>
      <c r="C325"/>
      <c r="D325"/>
      <c r="E325"/>
      <c r="F325" s="7"/>
      <c r="G325" s="7"/>
      <c r="H325" s="7"/>
      <c r="I325" s="7"/>
      <c r="J325" s="7"/>
    </row>
    <row r="326" spans="2:10" x14ac:dyDescent="0.15">
      <c r="B326"/>
      <c r="C326"/>
      <c r="D326"/>
      <c r="E326"/>
      <c r="F326" s="7"/>
      <c r="G326" s="7"/>
      <c r="H326" s="7"/>
      <c r="I326" s="7"/>
      <c r="J326" s="7"/>
    </row>
    <row r="327" spans="2:10" x14ac:dyDescent="0.15">
      <c r="B327"/>
      <c r="C327"/>
      <c r="D327"/>
      <c r="E327"/>
      <c r="F327" s="7"/>
      <c r="G327" s="7"/>
      <c r="H327" s="7"/>
      <c r="I327" s="7"/>
      <c r="J327" s="7"/>
    </row>
    <row r="328" spans="2:10" x14ac:dyDescent="0.15">
      <c r="B328"/>
      <c r="C328"/>
      <c r="D328"/>
      <c r="E328"/>
      <c r="F328" s="7"/>
      <c r="G328" s="7"/>
      <c r="H328" s="7"/>
      <c r="I328" s="7"/>
      <c r="J328" s="7"/>
    </row>
    <row r="329" spans="2:10" x14ac:dyDescent="0.15">
      <c r="B329"/>
      <c r="C329"/>
      <c r="D329"/>
      <c r="E329"/>
      <c r="F329" s="7"/>
      <c r="G329" s="7"/>
      <c r="H329" s="7"/>
      <c r="I329" s="7"/>
      <c r="J329" s="7"/>
    </row>
    <row r="330" spans="2:10" x14ac:dyDescent="0.15">
      <c r="B330"/>
      <c r="C330"/>
      <c r="D330"/>
      <c r="E330"/>
      <c r="F330" s="7"/>
      <c r="G330" s="7"/>
      <c r="H330" s="7"/>
      <c r="I330" s="7"/>
      <c r="J330" s="7"/>
    </row>
    <row r="331" spans="2:10" x14ac:dyDescent="0.15">
      <c r="B331"/>
      <c r="C331"/>
      <c r="D331"/>
      <c r="E331"/>
      <c r="F331" s="7"/>
      <c r="G331" s="7"/>
      <c r="H331" s="7"/>
      <c r="I331" s="7"/>
      <c r="J331" s="7"/>
    </row>
    <row r="332" spans="2:10" x14ac:dyDescent="0.15">
      <c r="B332"/>
      <c r="C332"/>
      <c r="D332"/>
      <c r="E332"/>
      <c r="F332" s="7"/>
      <c r="G332" s="7"/>
      <c r="H332" s="7"/>
      <c r="I332" s="7"/>
      <c r="J332" s="7"/>
    </row>
    <row r="333" spans="2:10" x14ac:dyDescent="0.15">
      <c r="B333"/>
      <c r="C333"/>
      <c r="D333"/>
      <c r="E333"/>
      <c r="F333" s="7"/>
      <c r="G333" s="7"/>
      <c r="H333" s="7"/>
      <c r="I333" s="7"/>
      <c r="J333" s="7"/>
    </row>
    <row r="334" spans="2:10" x14ac:dyDescent="0.15">
      <c r="B334"/>
      <c r="C334"/>
      <c r="D334"/>
      <c r="E334"/>
      <c r="F334" s="7"/>
      <c r="G334" s="7"/>
      <c r="H334" s="7"/>
      <c r="I334" s="7"/>
      <c r="J334" s="7"/>
    </row>
    <row r="335" spans="2:10" x14ac:dyDescent="0.15">
      <c r="B335"/>
      <c r="C335"/>
      <c r="D335"/>
      <c r="E335"/>
      <c r="F335" s="7"/>
      <c r="G335" s="7"/>
      <c r="H335" s="7"/>
      <c r="I335" s="7"/>
      <c r="J335" s="7"/>
    </row>
    <row r="336" spans="2:10" x14ac:dyDescent="0.15">
      <c r="B336"/>
      <c r="C336"/>
      <c r="D336"/>
      <c r="E336"/>
      <c r="F336" s="7"/>
      <c r="G336" s="7"/>
      <c r="H336" s="7"/>
      <c r="I336" s="7"/>
      <c r="J336" s="7"/>
    </row>
    <row r="337" spans="2:10" x14ac:dyDescent="0.15">
      <c r="B337"/>
      <c r="C337"/>
      <c r="D337"/>
      <c r="E337"/>
      <c r="F337" s="7"/>
      <c r="G337" s="7"/>
      <c r="H337" s="7"/>
      <c r="I337" s="7"/>
      <c r="J337" s="7"/>
    </row>
    <row r="338" spans="2:10" x14ac:dyDescent="0.15">
      <c r="B338"/>
      <c r="C338"/>
      <c r="D338"/>
      <c r="E338"/>
      <c r="F338" s="7"/>
      <c r="G338" s="7"/>
      <c r="H338" s="7"/>
      <c r="I338" s="7"/>
      <c r="J338" s="7"/>
    </row>
    <row r="339" spans="2:10" x14ac:dyDescent="0.15">
      <c r="B339"/>
      <c r="C339"/>
      <c r="D339"/>
      <c r="E339"/>
      <c r="F339" s="7"/>
      <c r="G339" s="7"/>
      <c r="H339" s="7"/>
      <c r="I339" s="7"/>
      <c r="J339" s="7"/>
    </row>
    <row r="340" spans="2:10" x14ac:dyDescent="0.15">
      <c r="B340"/>
      <c r="C340"/>
      <c r="D340"/>
      <c r="E340"/>
      <c r="F340" s="7"/>
      <c r="G340" s="7"/>
      <c r="H340" s="7"/>
      <c r="I340" s="7"/>
      <c r="J340" s="7"/>
    </row>
    <row r="341" spans="2:10" x14ac:dyDescent="0.15">
      <c r="B341"/>
      <c r="C341"/>
      <c r="D341"/>
      <c r="E341"/>
      <c r="F341" s="7"/>
      <c r="G341" s="7"/>
      <c r="H341" s="7"/>
      <c r="I341" s="7"/>
      <c r="J341" s="7"/>
    </row>
    <row r="342" spans="2:10" x14ac:dyDescent="0.15">
      <c r="B342"/>
      <c r="C342"/>
      <c r="D342"/>
      <c r="E342"/>
      <c r="F342" s="7"/>
      <c r="G342" s="7"/>
      <c r="H342" s="7"/>
      <c r="I342" s="7"/>
      <c r="J342" s="7"/>
    </row>
    <row r="343" spans="2:10" x14ac:dyDescent="0.15">
      <c r="B343"/>
      <c r="C343"/>
      <c r="D343"/>
      <c r="E343"/>
      <c r="F343" s="7"/>
      <c r="G343" s="7"/>
      <c r="H343" s="7"/>
      <c r="I343" s="7"/>
      <c r="J343" s="7"/>
    </row>
    <row r="344" spans="2:10" x14ac:dyDescent="0.15">
      <c r="B344"/>
      <c r="C344"/>
      <c r="D344"/>
      <c r="E344"/>
      <c r="F344" s="7"/>
      <c r="G344" s="7"/>
      <c r="H344" s="7"/>
      <c r="I344" s="7"/>
      <c r="J344" s="7"/>
    </row>
    <row r="345" spans="2:10" x14ac:dyDescent="0.15">
      <c r="B345"/>
      <c r="C345"/>
      <c r="D345"/>
      <c r="E345"/>
      <c r="F345" s="7"/>
      <c r="G345" s="7"/>
      <c r="H345" s="7"/>
      <c r="I345" s="7"/>
      <c r="J345" s="7"/>
    </row>
    <row r="346" spans="2:10" x14ac:dyDescent="0.15">
      <c r="B346"/>
      <c r="C346"/>
      <c r="D346"/>
      <c r="E346"/>
      <c r="F346" s="7"/>
      <c r="G346" s="7"/>
      <c r="H346" s="7"/>
      <c r="I346" s="7"/>
      <c r="J346" s="7"/>
    </row>
    <row r="347" spans="2:10" x14ac:dyDescent="0.15">
      <c r="B347"/>
      <c r="C347"/>
      <c r="D347"/>
      <c r="E347"/>
      <c r="F347" s="7"/>
      <c r="G347" s="7"/>
      <c r="H347" s="7"/>
      <c r="I347" s="7"/>
      <c r="J347" s="7"/>
    </row>
    <row r="348" spans="2:10" x14ac:dyDescent="0.15">
      <c r="B348"/>
      <c r="C348"/>
      <c r="D348"/>
      <c r="E348"/>
      <c r="F348" s="7"/>
      <c r="G348" s="7"/>
      <c r="H348" s="7"/>
      <c r="I348" s="7"/>
      <c r="J348" s="7"/>
    </row>
    <row r="349" spans="2:10" x14ac:dyDescent="0.15">
      <c r="B349"/>
      <c r="C349"/>
      <c r="D349"/>
      <c r="E349"/>
      <c r="F349" s="7"/>
      <c r="G349" s="7"/>
      <c r="H349" s="7"/>
      <c r="I349" s="7"/>
      <c r="J349" s="7"/>
    </row>
    <row r="350" spans="2:10" x14ac:dyDescent="0.15">
      <c r="B350"/>
      <c r="C350"/>
      <c r="D350"/>
      <c r="E350"/>
      <c r="F350" s="7"/>
      <c r="G350" s="7"/>
      <c r="H350" s="7"/>
      <c r="I350" s="7"/>
      <c r="J350" s="7"/>
    </row>
    <row r="351" spans="2:10" x14ac:dyDescent="0.15">
      <c r="B351"/>
      <c r="C351"/>
      <c r="D351"/>
      <c r="E351"/>
      <c r="F351" s="7"/>
      <c r="G351" s="7"/>
      <c r="H351" s="7"/>
      <c r="I351" s="7"/>
      <c r="J351" s="7"/>
    </row>
    <row r="352" spans="2:10" x14ac:dyDescent="0.15">
      <c r="B352"/>
      <c r="C352"/>
      <c r="D352"/>
      <c r="E352"/>
      <c r="F352" s="7"/>
      <c r="G352" s="7"/>
      <c r="H352" s="7"/>
      <c r="I352" s="7"/>
      <c r="J352" s="7"/>
    </row>
    <row r="353" spans="2:10" x14ac:dyDescent="0.15">
      <c r="B353"/>
      <c r="C353"/>
      <c r="D353"/>
      <c r="E353"/>
      <c r="F353" s="7"/>
      <c r="G353" s="7"/>
      <c r="H353" s="7"/>
      <c r="I353" s="7"/>
      <c r="J353" s="7"/>
    </row>
    <row r="354" spans="2:10" x14ac:dyDescent="0.15">
      <c r="B354"/>
      <c r="C354"/>
      <c r="D354"/>
      <c r="E354"/>
      <c r="F354" s="7"/>
      <c r="G354" s="7"/>
      <c r="H354" s="7"/>
      <c r="I354" s="7"/>
      <c r="J354" s="7"/>
    </row>
    <row r="355" spans="2:10" x14ac:dyDescent="0.15">
      <c r="B355"/>
      <c r="C355"/>
      <c r="D355"/>
      <c r="E355"/>
      <c r="F355" s="7"/>
      <c r="G355" s="7"/>
      <c r="H355" s="7"/>
      <c r="I355" s="7"/>
      <c r="J355" s="7"/>
    </row>
    <row r="356" spans="2:10" x14ac:dyDescent="0.15">
      <c r="B356"/>
      <c r="C356"/>
      <c r="D356"/>
      <c r="E356"/>
      <c r="F356" s="7"/>
      <c r="G356" s="7"/>
      <c r="H356" s="7"/>
      <c r="I356" s="7"/>
      <c r="J356" s="7"/>
    </row>
    <row r="357" spans="2:10" x14ac:dyDescent="0.15">
      <c r="B357"/>
      <c r="C357"/>
      <c r="D357"/>
      <c r="E357"/>
      <c r="F357" s="7"/>
      <c r="G357" s="7"/>
      <c r="H357" s="7"/>
      <c r="I357" s="7"/>
      <c r="J357" s="7"/>
    </row>
    <row r="358" spans="2:10" x14ac:dyDescent="0.15">
      <c r="B358"/>
      <c r="C358"/>
      <c r="D358"/>
      <c r="E358"/>
      <c r="F358" s="7"/>
      <c r="G358" s="7"/>
      <c r="H358" s="7"/>
      <c r="I358" s="7"/>
      <c r="J358" s="7"/>
    </row>
    <row r="359" spans="2:10" x14ac:dyDescent="0.15">
      <c r="B359"/>
      <c r="C359"/>
      <c r="D359"/>
      <c r="E359"/>
      <c r="F359" s="7"/>
      <c r="G359" s="7"/>
      <c r="H359" s="7"/>
      <c r="I359" s="7"/>
      <c r="J359" s="7"/>
    </row>
    <row r="360" spans="2:10" x14ac:dyDescent="0.15">
      <c r="B360"/>
      <c r="C360"/>
      <c r="D360"/>
      <c r="E360"/>
      <c r="F360" s="7"/>
      <c r="G360" s="7"/>
      <c r="H360" s="7"/>
      <c r="I360" s="7"/>
      <c r="J360" s="7"/>
    </row>
    <row r="361" spans="2:10" x14ac:dyDescent="0.15">
      <c r="B361"/>
      <c r="C361"/>
      <c r="D361"/>
      <c r="E361"/>
      <c r="F361" s="7"/>
      <c r="G361" s="7"/>
      <c r="H361" s="7"/>
      <c r="I361" s="7"/>
      <c r="J361" s="7"/>
    </row>
    <row r="362" spans="2:10" x14ac:dyDescent="0.15">
      <c r="B362"/>
      <c r="C362"/>
      <c r="D362"/>
      <c r="E362"/>
      <c r="F362" s="7"/>
      <c r="G362" s="7"/>
      <c r="H362" s="7"/>
      <c r="I362" s="7"/>
      <c r="J362" s="7"/>
    </row>
    <row r="363" spans="2:10" x14ac:dyDescent="0.15">
      <c r="B363"/>
      <c r="C363"/>
      <c r="D363"/>
      <c r="E363"/>
      <c r="F363" s="7"/>
      <c r="G363" s="7"/>
      <c r="H363" s="7"/>
      <c r="I363" s="7"/>
      <c r="J363" s="7"/>
    </row>
    <row r="364" spans="2:10" x14ac:dyDescent="0.15">
      <c r="B364"/>
      <c r="C364"/>
      <c r="D364"/>
      <c r="E364"/>
      <c r="F364" s="7"/>
      <c r="G364" s="7"/>
      <c r="H364" s="7"/>
      <c r="I364" s="7"/>
      <c r="J364" s="7"/>
    </row>
    <row r="365" spans="2:10" x14ac:dyDescent="0.15">
      <c r="B365"/>
      <c r="C365"/>
      <c r="D365"/>
      <c r="E365"/>
      <c r="F365" s="7"/>
      <c r="G365" s="7"/>
      <c r="H365" s="7"/>
      <c r="I365" s="7"/>
      <c r="J365" s="7"/>
    </row>
    <row r="366" spans="2:10" x14ac:dyDescent="0.15">
      <c r="B366"/>
      <c r="C366"/>
      <c r="D366"/>
      <c r="E366"/>
      <c r="F366" s="7"/>
      <c r="G366" s="7"/>
      <c r="H366" s="7"/>
      <c r="I366" s="7"/>
      <c r="J366" s="7"/>
    </row>
    <row r="367" spans="2:10" x14ac:dyDescent="0.15">
      <c r="B367"/>
      <c r="C367"/>
      <c r="D367"/>
      <c r="E367"/>
      <c r="F367" s="7"/>
      <c r="G367" s="7"/>
      <c r="H367" s="7"/>
      <c r="I367" s="7"/>
      <c r="J367" s="7"/>
    </row>
    <row r="368" spans="2:10" x14ac:dyDescent="0.15">
      <c r="B368"/>
      <c r="C368"/>
      <c r="D368"/>
      <c r="E368"/>
      <c r="F368" s="7"/>
      <c r="G368" s="7"/>
      <c r="H368" s="7"/>
      <c r="I368" s="7"/>
      <c r="J368" s="7"/>
    </row>
    <row r="369" spans="2:10" x14ac:dyDescent="0.15">
      <c r="B369"/>
      <c r="C369"/>
      <c r="D369"/>
      <c r="E369"/>
      <c r="F369" s="7"/>
      <c r="G369" s="7"/>
      <c r="H369" s="7"/>
      <c r="I369" s="7"/>
      <c r="J369" s="7"/>
    </row>
    <row r="370" spans="2:10" x14ac:dyDescent="0.15">
      <c r="B370"/>
      <c r="C370"/>
      <c r="D370"/>
      <c r="E370"/>
      <c r="F370" s="7"/>
      <c r="G370" s="7"/>
      <c r="H370" s="7"/>
      <c r="I370" s="7"/>
      <c r="J370" s="7"/>
    </row>
    <row r="371" spans="2:10" x14ac:dyDescent="0.15">
      <c r="B371"/>
      <c r="C371"/>
      <c r="D371"/>
      <c r="E371"/>
      <c r="F371" s="7"/>
      <c r="G371" s="7"/>
      <c r="H371" s="7"/>
      <c r="I371" s="7"/>
      <c r="J371" s="7"/>
    </row>
    <row r="372" spans="2:10" x14ac:dyDescent="0.15">
      <c r="B372"/>
      <c r="C372"/>
      <c r="D372"/>
      <c r="E372"/>
      <c r="F372" s="7"/>
      <c r="G372" s="7"/>
      <c r="H372" s="7"/>
      <c r="I372" s="7"/>
      <c r="J372" s="7"/>
    </row>
    <row r="373" spans="2:10" x14ac:dyDescent="0.15">
      <c r="B373"/>
      <c r="C373"/>
      <c r="D373"/>
      <c r="E373"/>
      <c r="F373" s="7"/>
      <c r="G373" s="7"/>
      <c r="H373" s="7"/>
      <c r="I373" s="7"/>
      <c r="J373" s="7"/>
    </row>
    <row r="374" spans="2:10" x14ac:dyDescent="0.15">
      <c r="B374"/>
      <c r="C374"/>
      <c r="D374"/>
      <c r="E374"/>
      <c r="F374" s="7"/>
      <c r="G374" s="7"/>
      <c r="H374" s="7"/>
      <c r="I374" s="7"/>
      <c r="J374" s="7"/>
    </row>
    <row r="375" spans="2:10" x14ac:dyDescent="0.15">
      <c r="B375"/>
      <c r="C375"/>
      <c r="D375"/>
      <c r="E375"/>
      <c r="F375" s="7"/>
      <c r="G375" s="7"/>
      <c r="H375" s="7"/>
      <c r="I375" s="7"/>
      <c r="J375" s="7"/>
    </row>
    <row r="376" spans="2:10" x14ac:dyDescent="0.15">
      <c r="B376"/>
      <c r="C376"/>
      <c r="D376"/>
      <c r="E376"/>
      <c r="F376" s="7"/>
      <c r="G376" s="7"/>
      <c r="H376" s="7"/>
      <c r="I376" s="7"/>
      <c r="J376" s="7"/>
    </row>
    <row r="377" spans="2:10" x14ac:dyDescent="0.15">
      <c r="B377"/>
      <c r="C377"/>
      <c r="D377"/>
      <c r="E377"/>
      <c r="F377" s="7"/>
      <c r="G377" s="7"/>
      <c r="H377" s="7"/>
      <c r="I377" s="7"/>
      <c r="J377" s="7"/>
    </row>
    <row r="378" spans="2:10" x14ac:dyDescent="0.15">
      <c r="B378"/>
      <c r="C378"/>
      <c r="D378"/>
      <c r="E378"/>
      <c r="F378" s="7"/>
      <c r="G378" s="7"/>
      <c r="H378" s="7"/>
      <c r="I378" s="7"/>
      <c r="J378" s="7"/>
    </row>
    <row r="379" spans="2:10" x14ac:dyDescent="0.15">
      <c r="B379"/>
      <c r="C379"/>
      <c r="D379"/>
      <c r="E379"/>
      <c r="F379" s="7"/>
      <c r="G379" s="7"/>
      <c r="H379" s="7"/>
      <c r="I379" s="7"/>
      <c r="J379" s="7"/>
    </row>
    <row r="380" spans="2:10" x14ac:dyDescent="0.15">
      <c r="B380"/>
      <c r="C380"/>
      <c r="D380"/>
      <c r="E380"/>
      <c r="F380" s="7"/>
      <c r="G380" s="7"/>
      <c r="H380" s="7"/>
      <c r="I380" s="7"/>
      <c r="J380" s="7"/>
    </row>
    <row r="381" spans="2:10" x14ac:dyDescent="0.15">
      <c r="B381"/>
      <c r="C381"/>
      <c r="D381"/>
      <c r="E381"/>
      <c r="F381" s="7"/>
      <c r="G381" s="7"/>
      <c r="H381" s="7"/>
      <c r="I381" s="7"/>
      <c r="J381" s="7"/>
    </row>
    <row r="382" spans="2:10" x14ac:dyDescent="0.15">
      <c r="B382"/>
      <c r="C382"/>
      <c r="D382"/>
      <c r="E382"/>
      <c r="F382" s="7"/>
      <c r="G382" s="7"/>
      <c r="H382" s="7"/>
      <c r="I382" s="7"/>
      <c r="J382" s="7"/>
    </row>
    <row r="383" spans="2:10" x14ac:dyDescent="0.15">
      <c r="B383"/>
      <c r="C383"/>
      <c r="D383"/>
      <c r="E383"/>
      <c r="F383" s="7"/>
      <c r="G383" s="7"/>
      <c r="H383" s="7"/>
      <c r="I383" s="7"/>
      <c r="J383" s="7"/>
    </row>
    <row r="384" spans="2:10" x14ac:dyDescent="0.15">
      <c r="B384"/>
      <c r="C384"/>
      <c r="D384"/>
      <c r="E384"/>
      <c r="F384" s="7"/>
      <c r="G384" s="7"/>
      <c r="H384" s="7"/>
      <c r="I384" s="7"/>
      <c r="J384" s="7"/>
    </row>
    <row r="385" spans="2:10" x14ac:dyDescent="0.15">
      <c r="B385"/>
      <c r="C385"/>
      <c r="D385"/>
      <c r="E385"/>
      <c r="F385" s="7"/>
      <c r="G385" s="7"/>
      <c r="H385" s="7"/>
      <c r="I385" s="7"/>
      <c r="J385" s="7"/>
    </row>
    <row r="386" spans="2:10" x14ac:dyDescent="0.15">
      <c r="B386"/>
      <c r="C386"/>
      <c r="D386"/>
      <c r="E386"/>
      <c r="F386" s="7"/>
      <c r="G386" s="7"/>
      <c r="H386" s="7"/>
      <c r="I386" s="7"/>
      <c r="J386" s="7"/>
    </row>
    <row r="387" spans="2:10" x14ac:dyDescent="0.15">
      <c r="B387"/>
      <c r="C387"/>
      <c r="D387"/>
      <c r="E387"/>
      <c r="F387" s="7"/>
      <c r="G387" s="7"/>
      <c r="H387" s="7"/>
      <c r="I387" s="7"/>
      <c r="J387" s="7"/>
    </row>
    <row r="388" spans="2:10" x14ac:dyDescent="0.15">
      <c r="B388"/>
      <c r="C388"/>
      <c r="D388"/>
      <c r="E388"/>
      <c r="F388" s="7"/>
      <c r="G388" s="7"/>
      <c r="H388" s="7"/>
      <c r="I388" s="7"/>
      <c r="J388" s="7"/>
    </row>
    <row r="389" spans="2:10" x14ac:dyDescent="0.15">
      <c r="B389"/>
      <c r="C389"/>
      <c r="D389"/>
      <c r="E389"/>
      <c r="F389" s="7"/>
      <c r="G389" s="7"/>
      <c r="H389" s="7"/>
      <c r="I389" s="7"/>
      <c r="J389" s="7"/>
    </row>
    <row r="390" spans="2:10" x14ac:dyDescent="0.15">
      <c r="B390"/>
      <c r="C390"/>
      <c r="D390"/>
      <c r="E390"/>
      <c r="F390" s="7"/>
      <c r="G390" s="7"/>
      <c r="H390" s="7"/>
      <c r="I390" s="7"/>
      <c r="J390" s="7"/>
    </row>
    <row r="391" spans="2:10" x14ac:dyDescent="0.15">
      <c r="B391"/>
      <c r="C391"/>
      <c r="D391"/>
      <c r="E391"/>
      <c r="F391" s="7"/>
      <c r="G391" s="7"/>
      <c r="H391" s="7"/>
      <c r="I391" s="7"/>
      <c r="J391" s="7"/>
    </row>
    <row r="392" spans="2:10" x14ac:dyDescent="0.15">
      <c r="B392"/>
      <c r="C392"/>
      <c r="D392"/>
      <c r="E392"/>
      <c r="F392" s="7"/>
      <c r="G392" s="7"/>
      <c r="H392" s="7"/>
      <c r="I392" s="7"/>
      <c r="J392" s="7"/>
    </row>
    <row r="393" spans="2:10" x14ac:dyDescent="0.15">
      <c r="B393"/>
      <c r="C393"/>
      <c r="D393"/>
      <c r="E393"/>
      <c r="F393" s="7"/>
      <c r="G393" s="7"/>
      <c r="H393" s="7"/>
      <c r="I393" s="7"/>
      <c r="J393" s="7"/>
    </row>
    <row r="394" spans="2:10" x14ac:dyDescent="0.15">
      <c r="B394"/>
      <c r="C394"/>
      <c r="D394"/>
      <c r="E394"/>
      <c r="F394" s="7"/>
      <c r="G394" s="7"/>
      <c r="H394" s="7"/>
      <c r="I394" s="7"/>
      <c r="J394" s="7"/>
    </row>
    <row r="395" spans="2:10" x14ac:dyDescent="0.15">
      <c r="B395"/>
      <c r="C395"/>
      <c r="D395"/>
      <c r="E395"/>
      <c r="F395" s="7"/>
      <c r="G395" s="7"/>
      <c r="H395" s="7"/>
      <c r="I395" s="7"/>
      <c r="J395" s="7"/>
    </row>
    <row r="396" spans="2:10" x14ac:dyDescent="0.15">
      <c r="B396"/>
      <c r="C396"/>
      <c r="D396"/>
      <c r="E396"/>
      <c r="F396" s="7"/>
      <c r="G396" s="7"/>
      <c r="H396" s="7"/>
      <c r="I396" s="7"/>
      <c r="J396" s="7"/>
    </row>
    <row r="397" spans="2:10" x14ac:dyDescent="0.15">
      <c r="B397"/>
      <c r="C397"/>
      <c r="D397"/>
      <c r="E397"/>
      <c r="F397" s="7"/>
      <c r="G397" s="7"/>
      <c r="H397" s="7"/>
      <c r="I397" s="7"/>
      <c r="J397" s="7"/>
    </row>
    <row r="398" spans="2:10" x14ac:dyDescent="0.15">
      <c r="B398"/>
      <c r="C398"/>
      <c r="D398"/>
      <c r="E398"/>
      <c r="F398" s="7"/>
      <c r="G398" s="7"/>
      <c r="H398" s="7"/>
      <c r="I398" s="7"/>
      <c r="J398" s="7"/>
    </row>
    <row r="399" spans="2:10" x14ac:dyDescent="0.15">
      <c r="B399"/>
      <c r="C399"/>
      <c r="D399"/>
      <c r="E399"/>
      <c r="F399" s="7"/>
      <c r="G399" s="7"/>
      <c r="H399" s="7"/>
      <c r="I399" s="7"/>
      <c r="J399" s="7"/>
    </row>
    <row r="400" spans="2:10" x14ac:dyDescent="0.15">
      <c r="B400"/>
      <c r="C400"/>
      <c r="D400"/>
      <c r="E400"/>
      <c r="F400" s="7"/>
      <c r="G400" s="7"/>
      <c r="H400" s="7"/>
      <c r="I400" s="7"/>
      <c r="J400" s="7"/>
    </row>
    <row r="401" spans="2:10" x14ac:dyDescent="0.15">
      <c r="B401"/>
      <c r="C401"/>
      <c r="D401"/>
      <c r="E401"/>
      <c r="F401" s="7"/>
      <c r="G401" s="7"/>
      <c r="H401" s="7"/>
      <c r="I401" s="7"/>
      <c r="J401" s="7"/>
    </row>
    <row r="402" spans="2:10" x14ac:dyDescent="0.15">
      <c r="B402"/>
      <c r="C402"/>
      <c r="D402"/>
      <c r="E402"/>
      <c r="F402" s="7"/>
      <c r="G402" s="7"/>
      <c r="H402" s="7"/>
      <c r="I402" s="7"/>
      <c r="J402" s="7"/>
    </row>
    <row r="403" spans="2:10" x14ac:dyDescent="0.15">
      <c r="B403"/>
      <c r="C403"/>
      <c r="D403"/>
      <c r="E403"/>
      <c r="F403" s="7"/>
      <c r="G403" s="7"/>
      <c r="H403" s="7"/>
      <c r="I403" s="7"/>
      <c r="J403" s="7"/>
    </row>
    <row r="404" spans="2:10" x14ac:dyDescent="0.15">
      <c r="B404"/>
      <c r="C404"/>
      <c r="D404"/>
      <c r="E404"/>
      <c r="F404" s="7"/>
      <c r="G404" s="7"/>
      <c r="H404" s="7"/>
      <c r="I404" s="7"/>
      <c r="J404" s="7"/>
    </row>
    <row r="405" spans="2:10" x14ac:dyDescent="0.15">
      <c r="B405"/>
      <c r="C405"/>
      <c r="D405"/>
      <c r="E405"/>
      <c r="F405" s="7"/>
      <c r="G405" s="7"/>
      <c r="H405" s="7"/>
      <c r="I405" s="7"/>
      <c r="J405" s="7"/>
    </row>
    <row r="406" spans="2:10" x14ac:dyDescent="0.15">
      <c r="B406"/>
      <c r="C406"/>
      <c r="D406"/>
      <c r="E406"/>
      <c r="F406" s="7"/>
      <c r="G406" s="7"/>
      <c r="H406" s="7"/>
      <c r="I406" s="7"/>
      <c r="J406" s="7"/>
    </row>
    <row r="407" spans="2:10" x14ac:dyDescent="0.15">
      <c r="B407"/>
      <c r="C407"/>
      <c r="D407"/>
      <c r="E407"/>
      <c r="F407" s="7"/>
      <c r="G407" s="7"/>
      <c r="H407" s="7"/>
      <c r="I407" s="7"/>
      <c r="J407" s="7"/>
    </row>
    <row r="408" spans="2:10" x14ac:dyDescent="0.15">
      <c r="B408"/>
      <c r="C408"/>
      <c r="D408"/>
      <c r="E408"/>
      <c r="F408" s="7"/>
      <c r="G408" s="7"/>
      <c r="H408" s="7"/>
      <c r="I408" s="7"/>
      <c r="J408" s="7"/>
    </row>
    <row r="409" spans="2:10" x14ac:dyDescent="0.15">
      <c r="B409"/>
      <c r="C409"/>
      <c r="D409"/>
      <c r="E409"/>
      <c r="F409" s="7"/>
      <c r="G409" s="7"/>
      <c r="H409" s="7"/>
      <c r="I409" s="7"/>
      <c r="J409" s="7"/>
    </row>
    <row r="410" spans="2:10" x14ac:dyDescent="0.15">
      <c r="B410"/>
      <c r="C410"/>
      <c r="D410"/>
      <c r="E410"/>
      <c r="F410" s="7"/>
      <c r="G410" s="7"/>
      <c r="H410" s="7"/>
      <c r="I410" s="7"/>
      <c r="J410" s="7"/>
    </row>
    <row r="411" spans="2:10" x14ac:dyDescent="0.15">
      <c r="B411"/>
      <c r="C411"/>
      <c r="D411"/>
      <c r="E411"/>
      <c r="F411" s="7"/>
      <c r="G411" s="7"/>
      <c r="H411" s="7"/>
      <c r="I411" s="7"/>
      <c r="J411" s="7"/>
    </row>
    <row r="412" spans="2:10" x14ac:dyDescent="0.15">
      <c r="B412"/>
      <c r="C412"/>
      <c r="D412"/>
      <c r="E412"/>
      <c r="F412" s="7"/>
      <c r="G412" s="7"/>
      <c r="H412" s="7"/>
      <c r="I412" s="7"/>
      <c r="J412" s="7"/>
    </row>
    <row r="413" spans="2:10" x14ac:dyDescent="0.15">
      <c r="B413"/>
      <c r="C413"/>
      <c r="D413"/>
      <c r="E413"/>
      <c r="F413" s="7"/>
      <c r="G413" s="7"/>
      <c r="H413" s="7"/>
      <c r="I413" s="7"/>
      <c r="J413" s="7"/>
    </row>
    <row r="414" spans="2:10" x14ac:dyDescent="0.15">
      <c r="B414"/>
      <c r="C414"/>
      <c r="D414"/>
      <c r="E414"/>
      <c r="F414" s="7"/>
      <c r="G414" s="7"/>
      <c r="H414" s="7"/>
      <c r="I414" s="7"/>
      <c r="J414" s="7"/>
    </row>
    <row r="415" spans="2:10" x14ac:dyDescent="0.15">
      <c r="B415"/>
      <c r="C415"/>
      <c r="D415"/>
      <c r="E415"/>
      <c r="F415" s="7"/>
      <c r="G415" s="7"/>
      <c r="H415" s="7"/>
      <c r="I415" s="7"/>
      <c r="J415" s="7"/>
    </row>
    <row r="416" spans="2:10" x14ac:dyDescent="0.15">
      <c r="B416"/>
      <c r="C416"/>
      <c r="D416"/>
      <c r="E416"/>
      <c r="F416" s="7"/>
      <c r="G416" s="7"/>
      <c r="H416" s="7"/>
      <c r="I416" s="7"/>
      <c r="J416" s="7"/>
    </row>
    <row r="417" spans="2:10" x14ac:dyDescent="0.15">
      <c r="B417"/>
      <c r="C417"/>
      <c r="D417"/>
      <c r="E417"/>
      <c r="F417" s="7"/>
      <c r="G417" s="7"/>
      <c r="H417" s="7"/>
      <c r="I417" s="7"/>
      <c r="J417" s="7"/>
    </row>
    <row r="418" spans="2:10" x14ac:dyDescent="0.15">
      <c r="B418"/>
      <c r="C418"/>
      <c r="D418"/>
      <c r="E418"/>
      <c r="F418" s="7"/>
      <c r="G418" s="7"/>
      <c r="H418" s="7"/>
      <c r="I418" s="7"/>
      <c r="J418" s="7"/>
    </row>
    <row r="419" spans="2:10" x14ac:dyDescent="0.15">
      <c r="B419"/>
      <c r="C419"/>
      <c r="D419"/>
      <c r="E419"/>
      <c r="F419" s="7"/>
      <c r="G419" s="7"/>
      <c r="H419" s="7"/>
      <c r="I419" s="7"/>
      <c r="J419" s="7"/>
    </row>
    <row r="420" spans="2:10" x14ac:dyDescent="0.15">
      <c r="B420"/>
      <c r="C420"/>
      <c r="D420"/>
      <c r="E420"/>
      <c r="F420" s="7"/>
      <c r="G420" s="7"/>
      <c r="H420" s="7"/>
      <c r="I420" s="7"/>
      <c r="J420" s="7"/>
    </row>
    <row r="421" spans="2:10" x14ac:dyDescent="0.15">
      <c r="B421"/>
      <c r="C421"/>
      <c r="D421"/>
      <c r="E421"/>
      <c r="F421" s="7"/>
      <c r="G421" s="7"/>
      <c r="H421" s="7"/>
      <c r="I421" s="7"/>
      <c r="J421" s="7"/>
    </row>
    <row r="422" spans="2:10" x14ac:dyDescent="0.15">
      <c r="B422"/>
      <c r="C422"/>
      <c r="D422"/>
      <c r="E422"/>
      <c r="F422" s="7"/>
      <c r="G422" s="7"/>
      <c r="H422" s="7"/>
      <c r="I422" s="7"/>
      <c r="J422" s="7"/>
    </row>
    <row r="423" spans="2:10" x14ac:dyDescent="0.15">
      <c r="B423"/>
      <c r="C423"/>
      <c r="D423"/>
      <c r="E423"/>
      <c r="F423" s="7"/>
      <c r="G423" s="7"/>
      <c r="H423" s="7"/>
      <c r="I423" s="7"/>
      <c r="J423" s="7"/>
    </row>
    <row r="424" spans="2:10" x14ac:dyDescent="0.15">
      <c r="B424"/>
      <c r="C424"/>
      <c r="D424"/>
      <c r="E424"/>
      <c r="F424" s="7"/>
      <c r="G424" s="7"/>
      <c r="H424" s="7"/>
      <c r="I424" s="7"/>
      <c r="J424" s="7"/>
    </row>
    <row r="425" spans="2:10" x14ac:dyDescent="0.15">
      <c r="B425"/>
      <c r="C425"/>
      <c r="D425"/>
      <c r="E425"/>
      <c r="F425" s="7"/>
      <c r="G425" s="7"/>
      <c r="H425" s="7"/>
      <c r="I425" s="7"/>
      <c r="J425" s="7"/>
    </row>
    <row r="426" spans="2:10" x14ac:dyDescent="0.15">
      <c r="B426"/>
      <c r="C426"/>
      <c r="D426"/>
      <c r="E426"/>
      <c r="F426" s="7"/>
      <c r="G426" s="7"/>
      <c r="H426" s="7"/>
      <c r="I426" s="7"/>
      <c r="J426" s="7"/>
    </row>
    <row r="427" spans="2:10" x14ac:dyDescent="0.15">
      <c r="B427"/>
      <c r="C427"/>
      <c r="D427"/>
      <c r="E427"/>
      <c r="F427" s="7"/>
      <c r="G427" s="7"/>
      <c r="H427" s="7"/>
      <c r="I427" s="7"/>
      <c r="J427" s="7"/>
    </row>
    <row r="428" spans="2:10" x14ac:dyDescent="0.15">
      <c r="B428"/>
      <c r="C428"/>
      <c r="D428"/>
      <c r="E428"/>
      <c r="F428" s="7"/>
      <c r="G428" s="7"/>
      <c r="H428" s="7"/>
      <c r="I428" s="7"/>
      <c r="J428" s="7"/>
    </row>
    <row r="429" spans="2:10" x14ac:dyDescent="0.15">
      <c r="B429"/>
      <c r="C429"/>
      <c r="D429"/>
      <c r="E429"/>
      <c r="F429" s="7"/>
      <c r="G429" s="7"/>
      <c r="H429" s="7"/>
      <c r="I429" s="7"/>
      <c r="J429" s="7"/>
    </row>
    <row r="430" spans="2:10" x14ac:dyDescent="0.15">
      <c r="B430"/>
      <c r="C430"/>
      <c r="D430"/>
      <c r="E430"/>
      <c r="F430" s="7"/>
      <c r="G430" s="7"/>
      <c r="H430" s="7"/>
      <c r="I430" s="7"/>
      <c r="J430" s="7"/>
    </row>
    <row r="431" spans="2:10" x14ac:dyDescent="0.15">
      <c r="B431"/>
      <c r="C431"/>
      <c r="D431"/>
      <c r="E431"/>
      <c r="F431" s="7"/>
      <c r="G431" s="7"/>
      <c r="H431" s="7"/>
      <c r="I431" s="7"/>
      <c r="J431" s="7"/>
    </row>
    <row r="432" spans="2:10" x14ac:dyDescent="0.15">
      <c r="B432"/>
      <c r="C432"/>
      <c r="D432"/>
      <c r="E432"/>
      <c r="F432" s="7"/>
      <c r="G432" s="7"/>
      <c r="H432" s="7"/>
      <c r="I432" s="7"/>
      <c r="J432" s="7"/>
    </row>
    <row r="433" spans="2:10" x14ac:dyDescent="0.15">
      <c r="B433"/>
      <c r="C433"/>
      <c r="D433"/>
      <c r="E433"/>
      <c r="F433" s="7"/>
      <c r="G433" s="7"/>
      <c r="H433" s="7"/>
      <c r="I433" s="7"/>
      <c r="J433" s="7"/>
    </row>
    <row r="434" spans="2:10" x14ac:dyDescent="0.15">
      <c r="B434"/>
      <c r="C434"/>
      <c r="D434"/>
      <c r="E434"/>
      <c r="F434" s="7"/>
      <c r="G434" s="7"/>
      <c r="H434" s="7"/>
      <c r="I434" s="7"/>
      <c r="J434" s="7"/>
    </row>
    <row r="435" spans="2:10" x14ac:dyDescent="0.15">
      <c r="B435"/>
      <c r="C435"/>
      <c r="D435"/>
      <c r="E435"/>
      <c r="F435" s="7"/>
      <c r="G435" s="7"/>
      <c r="H435" s="7"/>
      <c r="I435" s="7"/>
      <c r="J435" s="7"/>
    </row>
    <row r="436" spans="2:10" x14ac:dyDescent="0.15">
      <c r="B436"/>
      <c r="C436"/>
      <c r="D436"/>
      <c r="E436"/>
      <c r="F436" s="7"/>
      <c r="G436" s="7"/>
      <c r="H436" s="7"/>
      <c r="I436" s="7"/>
      <c r="J436" s="7"/>
    </row>
    <row r="437" spans="2:10" x14ac:dyDescent="0.15">
      <c r="B437"/>
      <c r="C437"/>
      <c r="D437"/>
      <c r="E437"/>
      <c r="F437" s="7"/>
      <c r="G437" s="7"/>
      <c r="H437" s="7"/>
      <c r="I437" s="7"/>
      <c r="J437" s="7"/>
    </row>
    <row r="438" spans="2:10" x14ac:dyDescent="0.15">
      <c r="B438"/>
      <c r="C438"/>
      <c r="D438"/>
      <c r="E438"/>
      <c r="F438" s="7"/>
      <c r="G438" s="7"/>
      <c r="H438" s="7"/>
      <c r="I438" s="7"/>
      <c r="J438" s="7"/>
    </row>
    <row r="439" spans="2:10" x14ac:dyDescent="0.15">
      <c r="B439"/>
      <c r="C439"/>
      <c r="D439"/>
      <c r="E439"/>
      <c r="F439" s="7"/>
      <c r="G439" s="7"/>
      <c r="H439" s="7"/>
      <c r="I439" s="7"/>
      <c r="J439" s="7"/>
    </row>
    <row r="440" spans="2:10" x14ac:dyDescent="0.15">
      <c r="B440"/>
      <c r="C440"/>
      <c r="D440"/>
      <c r="E440"/>
      <c r="F440" s="7"/>
      <c r="G440" s="7"/>
      <c r="H440" s="7"/>
      <c r="I440" s="7"/>
      <c r="J440" s="7"/>
    </row>
    <row r="441" spans="2:10" x14ac:dyDescent="0.15">
      <c r="B441"/>
      <c r="C441"/>
      <c r="D441"/>
      <c r="E441"/>
      <c r="F441" s="7"/>
      <c r="G441" s="7"/>
      <c r="H441" s="7"/>
      <c r="I441" s="7"/>
      <c r="J441" s="7"/>
    </row>
    <row r="442" spans="2:10" x14ac:dyDescent="0.15">
      <c r="B442"/>
      <c r="C442"/>
      <c r="D442"/>
      <c r="E442"/>
      <c r="F442" s="7"/>
      <c r="G442" s="7"/>
      <c r="H442" s="7"/>
      <c r="I442" s="7"/>
      <c r="J442" s="7"/>
    </row>
    <row r="443" spans="2:10" x14ac:dyDescent="0.15">
      <c r="B443"/>
      <c r="C443"/>
      <c r="D443"/>
      <c r="E443"/>
      <c r="F443" s="7"/>
      <c r="G443" s="7"/>
      <c r="H443" s="7"/>
      <c r="I443" s="7"/>
      <c r="J443" s="7"/>
    </row>
    <row r="444" spans="2:10" x14ac:dyDescent="0.15">
      <c r="B444"/>
      <c r="C444"/>
      <c r="D444"/>
      <c r="E444"/>
      <c r="F444" s="7"/>
      <c r="G444" s="7"/>
      <c r="H444" s="7"/>
      <c r="I444" s="7"/>
      <c r="J444" s="7"/>
    </row>
    <row r="445" spans="2:10" x14ac:dyDescent="0.15">
      <c r="B445"/>
      <c r="C445"/>
      <c r="D445"/>
      <c r="E445"/>
      <c r="F445" s="7"/>
      <c r="G445" s="7"/>
      <c r="H445" s="7"/>
      <c r="I445" s="7"/>
      <c r="J445" s="7"/>
    </row>
    <row r="446" spans="2:10" x14ac:dyDescent="0.15">
      <c r="B446"/>
      <c r="C446"/>
      <c r="D446"/>
      <c r="E446"/>
      <c r="F446" s="7"/>
      <c r="G446" s="7"/>
      <c r="H446" s="7"/>
      <c r="I446" s="7"/>
      <c r="J446" s="7"/>
    </row>
    <row r="447" spans="2:10" x14ac:dyDescent="0.15">
      <c r="B447"/>
      <c r="C447"/>
      <c r="D447"/>
      <c r="E447"/>
      <c r="F447" s="7"/>
      <c r="G447" s="7"/>
      <c r="H447" s="7"/>
      <c r="I447" s="7"/>
      <c r="J447" s="7"/>
    </row>
    <row r="448" spans="2:10" x14ac:dyDescent="0.15">
      <c r="B448"/>
      <c r="C448"/>
      <c r="D448"/>
      <c r="E448"/>
      <c r="F448" s="7"/>
      <c r="G448" s="7"/>
      <c r="H448" s="7"/>
      <c r="I448" s="7"/>
      <c r="J448" s="7"/>
    </row>
    <row r="449" spans="2:10" x14ac:dyDescent="0.15">
      <c r="B449"/>
      <c r="C449"/>
      <c r="D449"/>
      <c r="E449"/>
      <c r="F449" s="7"/>
      <c r="G449" s="7"/>
      <c r="H449" s="7"/>
      <c r="I449" s="7"/>
      <c r="J449" s="7"/>
    </row>
    <row r="450" spans="2:10" x14ac:dyDescent="0.15">
      <c r="B450"/>
      <c r="C450"/>
      <c r="D450"/>
      <c r="E450"/>
      <c r="F450" s="7"/>
      <c r="G450" s="7"/>
      <c r="H450" s="7"/>
      <c r="I450" s="7"/>
      <c r="J450" s="7"/>
    </row>
    <row r="451" spans="2:10" x14ac:dyDescent="0.15">
      <c r="B451"/>
      <c r="C451"/>
      <c r="D451"/>
      <c r="E451"/>
      <c r="F451" s="7"/>
      <c r="G451" s="7"/>
      <c r="H451" s="7"/>
      <c r="I451" s="7"/>
      <c r="J451" s="7"/>
    </row>
    <row r="452" spans="2:10" x14ac:dyDescent="0.15">
      <c r="B452"/>
      <c r="C452"/>
      <c r="D452"/>
      <c r="E452"/>
      <c r="F452" s="7"/>
      <c r="G452" s="7"/>
      <c r="H452" s="7"/>
      <c r="I452" s="7"/>
      <c r="J452" s="7"/>
    </row>
    <row r="453" spans="2:10" x14ac:dyDescent="0.15">
      <c r="B453"/>
      <c r="C453"/>
      <c r="D453"/>
      <c r="E453"/>
      <c r="F453" s="7"/>
      <c r="G453" s="7"/>
      <c r="H453" s="7"/>
      <c r="I453" s="7"/>
      <c r="J453" s="7"/>
    </row>
    <row r="454" spans="2:10" x14ac:dyDescent="0.15">
      <c r="B454"/>
      <c r="C454"/>
      <c r="D454"/>
      <c r="E454"/>
      <c r="F454" s="7"/>
      <c r="G454" s="7"/>
      <c r="H454" s="7"/>
      <c r="I454" s="7"/>
      <c r="J454" s="7"/>
    </row>
    <row r="455" spans="2:10" x14ac:dyDescent="0.15">
      <c r="B455"/>
      <c r="C455"/>
      <c r="D455"/>
      <c r="E455"/>
      <c r="F455" s="7"/>
      <c r="G455" s="7"/>
      <c r="H455" s="7"/>
      <c r="I455" s="7"/>
      <c r="J455" s="7"/>
    </row>
    <row r="456" spans="2:10" x14ac:dyDescent="0.15">
      <c r="B456"/>
      <c r="C456"/>
      <c r="D456"/>
      <c r="E456"/>
      <c r="F456" s="7"/>
      <c r="G456" s="7"/>
      <c r="H456" s="7"/>
      <c r="I456" s="7"/>
      <c r="J456" s="7"/>
    </row>
    <row r="457" spans="2:10" x14ac:dyDescent="0.15">
      <c r="B457"/>
      <c r="C457"/>
      <c r="D457"/>
      <c r="E457"/>
      <c r="F457" s="7"/>
      <c r="G457" s="7"/>
      <c r="H457" s="7"/>
      <c r="I457" s="7"/>
      <c r="J457" s="7"/>
    </row>
    <row r="458" spans="2:10" x14ac:dyDescent="0.15">
      <c r="B458"/>
      <c r="C458"/>
      <c r="D458"/>
      <c r="E458"/>
      <c r="F458" s="7"/>
      <c r="G458" s="7"/>
      <c r="H458" s="7"/>
      <c r="I458" s="7"/>
      <c r="J458" s="7"/>
    </row>
    <row r="459" spans="2:10" x14ac:dyDescent="0.15">
      <c r="B459"/>
      <c r="C459"/>
      <c r="D459"/>
      <c r="E459"/>
      <c r="F459" s="7"/>
      <c r="G459" s="7"/>
      <c r="H459" s="7"/>
      <c r="I459" s="7"/>
      <c r="J459" s="7"/>
    </row>
    <row r="460" spans="2:10" x14ac:dyDescent="0.15">
      <c r="B460"/>
      <c r="C460"/>
      <c r="D460"/>
      <c r="E460"/>
      <c r="F460" s="7"/>
      <c r="G460" s="7"/>
      <c r="H460" s="7"/>
      <c r="I460" s="7"/>
      <c r="J460" s="7"/>
    </row>
    <row r="461" spans="2:10" x14ac:dyDescent="0.15">
      <c r="B461"/>
      <c r="C461"/>
      <c r="D461"/>
      <c r="E461"/>
      <c r="F461" s="7"/>
      <c r="G461" s="7"/>
      <c r="H461" s="7"/>
      <c r="I461" s="7"/>
      <c r="J461" s="7"/>
    </row>
    <row r="462" spans="2:10" x14ac:dyDescent="0.15">
      <c r="B462"/>
      <c r="C462"/>
      <c r="D462"/>
      <c r="E462"/>
      <c r="F462" s="7"/>
      <c r="G462" s="7"/>
      <c r="H462" s="7"/>
      <c r="I462" s="7"/>
      <c r="J462" s="7"/>
    </row>
    <row r="463" spans="2:10" x14ac:dyDescent="0.15">
      <c r="B463"/>
      <c r="C463"/>
      <c r="D463"/>
      <c r="E463"/>
      <c r="F463" s="7"/>
      <c r="G463" s="7"/>
      <c r="H463" s="7"/>
      <c r="I463" s="7"/>
      <c r="J463" s="7"/>
    </row>
    <row r="464" spans="2:10" x14ac:dyDescent="0.15">
      <c r="B464"/>
      <c r="C464"/>
      <c r="D464"/>
      <c r="E464"/>
      <c r="F464" s="7"/>
      <c r="G464" s="7"/>
      <c r="H464" s="7"/>
      <c r="I464" s="7"/>
      <c r="J464" s="7"/>
    </row>
    <row r="465" spans="2:10" x14ac:dyDescent="0.15">
      <c r="B465"/>
      <c r="C465"/>
      <c r="D465"/>
      <c r="E465"/>
      <c r="F465" s="7"/>
      <c r="G465" s="7"/>
      <c r="H465" s="7"/>
      <c r="I465" s="7"/>
      <c r="J465" s="7"/>
    </row>
    <row r="466" spans="2:10" x14ac:dyDescent="0.15">
      <c r="B466"/>
      <c r="C466"/>
      <c r="D466"/>
      <c r="E466"/>
      <c r="F466" s="7"/>
      <c r="G466" s="7"/>
      <c r="H466" s="7"/>
      <c r="I466" s="7"/>
      <c r="J466" s="7"/>
    </row>
    <row r="467" spans="2:10" x14ac:dyDescent="0.15">
      <c r="B467"/>
      <c r="C467"/>
      <c r="D467"/>
      <c r="E467"/>
      <c r="F467" s="7"/>
      <c r="G467" s="7"/>
      <c r="H467" s="7"/>
      <c r="I467" s="7"/>
      <c r="J467" s="7"/>
    </row>
    <row r="468" spans="2:10" x14ac:dyDescent="0.15">
      <c r="B468"/>
      <c r="C468"/>
      <c r="D468"/>
      <c r="E468"/>
      <c r="F468" s="7"/>
      <c r="G468" s="7"/>
      <c r="H468" s="7"/>
      <c r="I468" s="7"/>
      <c r="J468" s="7"/>
    </row>
    <row r="469" spans="2:10" x14ac:dyDescent="0.15">
      <c r="B469"/>
      <c r="C469"/>
      <c r="D469"/>
      <c r="E469"/>
      <c r="F469" s="7"/>
      <c r="G469" s="7"/>
      <c r="H469" s="7"/>
      <c r="I469" s="7"/>
      <c r="J469" s="7"/>
    </row>
    <row r="470" spans="2:10" x14ac:dyDescent="0.15">
      <c r="B470"/>
      <c r="C470"/>
      <c r="D470"/>
      <c r="E470"/>
      <c r="F470" s="7"/>
      <c r="G470" s="7"/>
      <c r="H470" s="7"/>
      <c r="I470" s="7"/>
      <c r="J470" s="7"/>
    </row>
    <row r="471" spans="2:10" x14ac:dyDescent="0.15">
      <c r="B471"/>
      <c r="C471"/>
      <c r="D471"/>
      <c r="E471"/>
      <c r="F471" s="7"/>
      <c r="G471" s="7"/>
      <c r="H471" s="7"/>
      <c r="I471" s="7"/>
      <c r="J471" s="7"/>
    </row>
    <row r="472" spans="2:10" x14ac:dyDescent="0.15">
      <c r="B472"/>
      <c r="C472"/>
      <c r="D472"/>
      <c r="E472"/>
      <c r="F472" s="7"/>
      <c r="G472" s="7"/>
      <c r="H472" s="7"/>
      <c r="I472" s="7"/>
      <c r="J472" s="7"/>
    </row>
    <row r="473" spans="2:10" x14ac:dyDescent="0.15">
      <c r="B473"/>
      <c r="C473"/>
      <c r="D473"/>
      <c r="E473"/>
      <c r="F473" s="7"/>
      <c r="G473" s="7"/>
      <c r="H473" s="7"/>
      <c r="I473" s="7"/>
      <c r="J473" s="7"/>
    </row>
    <row r="474" spans="2:10" x14ac:dyDescent="0.15">
      <c r="B474"/>
      <c r="C474"/>
      <c r="D474"/>
      <c r="E474"/>
      <c r="F474" s="7"/>
      <c r="G474" s="7"/>
      <c r="H474" s="7"/>
      <c r="I474" s="7"/>
      <c r="J474" s="7"/>
    </row>
    <row r="475" spans="2:10" x14ac:dyDescent="0.15">
      <c r="B475"/>
      <c r="C475"/>
      <c r="D475"/>
      <c r="E475"/>
      <c r="F475" s="7"/>
      <c r="G475" s="7"/>
      <c r="H475" s="7"/>
      <c r="I475" s="7"/>
      <c r="J475" s="7"/>
    </row>
    <row r="476" spans="2:10" x14ac:dyDescent="0.15">
      <c r="B476"/>
      <c r="C476"/>
      <c r="D476"/>
      <c r="E476"/>
      <c r="F476" s="7"/>
      <c r="G476" s="7"/>
      <c r="H476" s="7"/>
      <c r="I476" s="7"/>
      <c r="J476" s="7"/>
    </row>
    <row r="477" spans="2:10" x14ac:dyDescent="0.15">
      <c r="B477"/>
      <c r="C477"/>
      <c r="D477"/>
      <c r="E477"/>
      <c r="F477" s="7"/>
      <c r="G477" s="7"/>
      <c r="H477" s="7"/>
      <c r="I477" s="7"/>
      <c r="J477" s="7"/>
    </row>
    <row r="478" spans="2:10" x14ac:dyDescent="0.15">
      <c r="B478"/>
      <c r="C478"/>
      <c r="D478"/>
      <c r="E478"/>
      <c r="F478" s="7"/>
      <c r="G478" s="7"/>
      <c r="H478" s="7"/>
      <c r="I478" s="7"/>
      <c r="J478" s="7"/>
    </row>
    <row r="479" spans="2:10" x14ac:dyDescent="0.15">
      <c r="B479"/>
      <c r="C479"/>
      <c r="D479"/>
      <c r="E479"/>
      <c r="F479" s="7"/>
      <c r="G479" s="7"/>
      <c r="H479" s="7"/>
      <c r="I479" s="7"/>
      <c r="J479" s="7"/>
    </row>
    <row r="480" spans="2:10" x14ac:dyDescent="0.15">
      <c r="B480"/>
      <c r="C480"/>
      <c r="D480"/>
      <c r="E480"/>
      <c r="F480" s="7"/>
      <c r="G480" s="7"/>
      <c r="H480" s="7"/>
      <c r="I480" s="7"/>
      <c r="J480" s="7"/>
    </row>
    <row r="481" spans="2:10" x14ac:dyDescent="0.15">
      <c r="B481"/>
      <c r="C481"/>
      <c r="D481"/>
      <c r="E481"/>
      <c r="F481" s="7"/>
      <c r="G481" s="7"/>
      <c r="H481" s="7"/>
      <c r="I481" s="7"/>
      <c r="J481" s="7"/>
    </row>
    <row r="482" spans="2:10" x14ac:dyDescent="0.15">
      <c r="B482"/>
      <c r="C482"/>
      <c r="D482"/>
      <c r="E482"/>
      <c r="F482" s="7"/>
      <c r="G482" s="7"/>
      <c r="H482" s="7"/>
      <c r="I482" s="7"/>
      <c r="J482" s="7"/>
    </row>
    <row r="483" spans="2:10" x14ac:dyDescent="0.15">
      <c r="B483"/>
      <c r="C483"/>
      <c r="D483"/>
      <c r="E483"/>
      <c r="F483" s="7"/>
      <c r="G483" s="7"/>
      <c r="H483" s="7"/>
      <c r="I483" s="7"/>
      <c r="J483" s="7"/>
    </row>
    <row r="484" spans="2:10" x14ac:dyDescent="0.15">
      <c r="B484"/>
      <c r="C484"/>
      <c r="D484"/>
      <c r="E484"/>
      <c r="F484" s="7"/>
      <c r="G484" s="7"/>
      <c r="H484" s="7"/>
      <c r="I484" s="7"/>
      <c r="J484" s="7"/>
    </row>
    <row r="485" spans="2:10" x14ac:dyDescent="0.15">
      <c r="B485"/>
      <c r="C485"/>
      <c r="D485"/>
      <c r="E485"/>
      <c r="F485" s="7"/>
      <c r="G485" s="7"/>
      <c r="H485" s="7"/>
      <c r="I485" s="7"/>
      <c r="J485" s="7"/>
    </row>
    <row r="486" spans="2:10" x14ac:dyDescent="0.15">
      <c r="B486"/>
      <c r="C486"/>
      <c r="D486"/>
      <c r="E486"/>
      <c r="F486" s="7"/>
      <c r="G486" s="7"/>
      <c r="H486" s="7"/>
      <c r="I486" s="7"/>
      <c r="J486" s="7"/>
    </row>
    <row r="487" spans="2:10" x14ac:dyDescent="0.15">
      <c r="B487"/>
      <c r="C487"/>
      <c r="D487"/>
      <c r="E487"/>
      <c r="F487" s="7"/>
      <c r="G487" s="7"/>
      <c r="H487" s="7"/>
      <c r="I487" s="7"/>
      <c r="J487" s="7"/>
    </row>
    <row r="488" spans="2:10" x14ac:dyDescent="0.15">
      <c r="B488"/>
      <c r="C488"/>
      <c r="D488"/>
      <c r="E488"/>
      <c r="F488" s="7"/>
      <c r="G488" s="7"/>
      <c r="H488" s="7"/>
      <c r="I488" s="7"/>
      <c r="J488" s="7"/>
    </row>
    <row r="489" spans="2:10" x14ac:dyDescent="0.15">
      <c r="B489"/>
      <c r="C489"/>
      <c r="D489"/>
      <c r="E489"/>
      <c r="F489" s="7"/>
      <c r="G489" s="7"/>
      <c r="H489" s="7"/>
      <c r="I489" s="7"/>
      <c r="J489" s="7"/>
    </row>
    <row r="490" spans="2:10" x14ac:dyDescent="0.15">
      <c r="B490"/>
      <c r="C490"/>
      <c r="D490"/>
      <c r="E490"/>
      <c r="F490" s="7"/>
      <c r="G490" s="7"/>
      <c r="H490" s="7"/>
      <c r="I490" s="7"/>
      <c r="J490" s="7"/>
    </row>
    <row r="491" spans="2:10" x14ac:dyDescent="0.15">
      <c r="B491"/>
      <c r="C491"/>
      <c r="D491"/>
      <c r="E491"/>
      <c r="F491" s="7"/>
      <c r="G491" s="7"/>
      <c r="H491" s="7"/>
      <c r="I491" s="7"/>
      <c r="J491" s="7"/>
    </row>
    <row r="492" spans="2:10" x14ac:dyDescent="0.15">
      <c r="B492"/>
      <c r="C492"/>
      <c r="D492"/>
      <c r="E492"/>
      <c r="F492" s="7"/>
      <c r="G492" s="7"/>
      <c r="H492" s="7"/>
      <c r="I492" s="7"/>
      <c r="J492" s="7"/>
    </row>
    <row r="493" spans="2:10" x14ac:dyDescent="0.15">
      <c r="B493"/>
      <c r="C493"/>
      <c r="D493"/>
      <c r="E493"/>
      <c r="F493" s="7"/>
      <c r="G493" s="7"/>
      <c r="H493" s="7"/>
      <c r="I493" s="7"/>
      <c r="J493" s="7"/>
    </row>
    <row r="494" spans="2:10" x14ac:dyDescent="0.15">
      <c r="B494"/>
      <c r="C494"/>
      <c r="D494"/>
      <c r="E494"/>
      <c r="F494" s="7"/>
      <c r="G494" s="7"/>
      <c r="H494" s="7"/>
      <c r="I494" s="7"/>
      <c r="J494" s="7"/>
    </row>
    <row r="495" spans="2:10" x14ac:dyDescent="0.15">
      <c r="B495"/>
      <c r="C495"/>
      <c r="D495"/>
      <c r="E495"/>
      <c r="F495" s="7"/>
      <c r="G495" s="7"/>
      <c r="H495" s="7"/>
      <c r="I495" s="7"/>
      <c r="J495" s="7"/>
    </row>
    <row r="496" spans="2:10" x14ac:dyDescent="0.15">
      <c r="B496"/>
      <c r="C496"/>
      <c r="D496"/>
      <c r="E496"/>
      <c r="F496" s="7"/>
      <c r="G496" s="7"/>
      <c r="H496" s="7"/>
      <c r="I496" s="7"/>
      <c r="J496" s="7"/>
    </row>
    <row r="497" spans="2:10" x14ac:dyDescent="0.15">
      <c r="B497"/>
      <c r="C497"/>
      <c r="D497"/>
      <c r="E497"/>
      <c r="F497" s="7"/>
      <c r="G497" s="7"/>
      <c r="H497" s="7"/>
      <c r="I497" s="7"/>
      <c r="J497" s="7"/>
    </row>
    <row r="498" spans="2:10" x14ac:dyDescent="0.15">
      <c r="B498"/>
      <c r="C498"/>
      <c r="D498"/>
      <c r="E498"/>
      <c r="F498" s="7"/>
      <c r="G498" s="7"/>
      <c r="H498" s="7"/>
      <c r="I498" s="7"/>
      <c r="J498" s="7"/>
    </row>
    <row r="499" spans="2:10" x14ac:dyDescent="0.15">
      <c r="B499"/>
      <c r="C499"/>
      <c r="D499"/>
      <c r="E499"/>
      <c r="F499" s="7"/>
      <c r="G499" s="7"/>
      <c r="H499" s="7"/>
      <c r="I499" s="7"/>
      <c r="J499" s="7"/>
    </row>
    <row r="500" spans="2:10" x14ac:dyDescent="0.15">
      <c r="B500"/>
      <c r="C500"/>
      <c r="D500"/>
      <c r="E500"/>
      <c r="F500" s="7"/>
      <c r="G500" s="7"/>
      <c r="H500" s="7"/>
      <c r="I500" s="7"/>
      <c r="J500" s="7"/>
    </row>
    <row r="501" spans="2:10" x14ac:dyDescent="0.15">
      <c r="B501"/>
      <c r="C501"/>
      <c r="D501"/>
      <c r="E501"/>
      <c r="F501" s="7"/>
      <c r="G501" s="7"/>
      <c r="H501" s="7"/>
      <c r="I501" s="7"/>
      <c r="J501" s="7"/>
    </row>
    <row r="502" spans="2:10" x14ac:dyDescent="0.15">
      <c r="B502"/>
      <c r="C502"/>
      <c r="D502"/>
      <c r="E502"/>
      <c r="F502" s="7"/>
      <c r="G502" s="7"/>
      <c r="H502" s="7"/>
      <c r="I502" s="7"/>
      <c r="J502" s="7"/>
    </row>
    <row r="503" spans="2:10" x14ac:dyDescent="0.15">
      <c r="B503"/>
      <c r="C503"/>
      <c r="D503"/>
      <c r="E503"/>
      <c r="F503" s="7"/>
      <c r="G503" s="7"/>
      <c r="H503" s="7"/>
      <c r="I503" s="7"/>
      <c r="J503" s="7"/>
    </row>
    <row r="504" spans="2:10" x14ac:dyDescent="0.15">
      <c r="B504"/>
      <c r="C504"/>
      <c r="D504"/>
      <c r="E504"/>
      <c r="F504" s="7"/>
      <c r="G504" s="7"/>
      <c r="H504" s="7"/>
      <c r="I504" s="7"/>
      <c r="J504" s="7"/>
    </row>
    <row r="505" spans="2:10" x14ac:dyDescent="0.15">
      <c r="B505"/>
      <c r="C505"/>
      <c r="D505"/>
      <c r="E505"/>
      <c r="F505" s="7"/>
      <c r="G505" s="7"/>
      <c r="H505" s="7"/>
      <c r="I505" s="7"/>
      <c r="J505" s="7"/>
    </row>
    <row r="506" spans="2:10" x14ac:dyDescent="0.15">
      <c r="B506"/>
      <c r="C506"/>
      <c r="D506"/>
      <c r="E506"/>
      <c r="F506" s="7"/>
      <c r="G506" s="7"/>
      <c r="H506" s="7"/>
      <c r="I506" s="7"/>
      <c r="J506" s="7"/>
    </row>
    <row r="507" spans="2:10" x14ac:dyDescent="0.15">
      <c r="B507"/>
      <c r="C507"/>
      <c r="D507"/>
      <c r="E507"/>
      <c r="F507" s="7"/>
      <c r="G507" s="7"/>
      <c r="H507" s="7"/>
      <c r="I507" s="7"/>
      <c r="J507" s="7"/>
    </row>
    <row r="508" spans="2:10" x14ac:dyDescent="0.15">
      <c r="B508"/>
      <c r="C508"/>
      <c r="D508"/>
      <c r="E508"/>
      <c r="F508" s="7"/>
      <c r="G508" s="7"/>
      <c r="H508" s="7"/>
      <c r="I508" s="7"/>
      <c r="J508" s="7"/>
    </row>
    <row r="509" spans="2:10" x14ac:dyDescent="0.15">
      <c r="B509"/>
      <c r="C509"/>
      <c r="D509"/>
      <c r="E509"/>
      <c r="F509" s="7"/>
      <c r="G509" s="7"/>
      <c r="H509" s="7"/>
      <c r="I509" s="7"/>
      <c r="J509" s="7"/>
    </row>
    <row r="510" spans="2:10" x14ac:dyDescent="0.15">
      <c r="B510"/>
      <c r="C510"/>
      <c r="D510"/>
      <c r="E510"/>
      <c r="F510" s="7"/>
      <c r="G510" s="7"/>
      <c r="H510" s="7"/>
      <c r="I510" s="7"/>
      <c r="J510" s="7"/>
    </row>
    <row r="511" spans="2:10" x14ac:dyDescent="0.15">
      <c r="B511"/>
      <c r="C511"/>
      <c r="D511"/>
      <c r="E511"/>
      <c r="F511" s="7"/>
      <c r="G511" s="7"/>
      <c r="H511" s="7"/>
      <c r="I511" s="7"/>
      <c r="J511" s="7"/>
    </row>
    <row r="512" spans="2:10" x14ac:dyDescent="0.15">
      <c r="B512"/>
      <c r="C512"/>
      <c r="D512"/>
      <c r="E512"/>
      <c r="F512" s="7"/>
      <c r="G512" s="7"/>
      <c r="H512" s="7"/>
      <c r="I512" s="7"/>
      <c r="J512" s="7"/>
    </row>
    <row r="513" spans="2:10" x14ac:dyDescent="0.15">
      <c r="B513"/>
      <c r="C513"/>
      <c r="D513"/>
      <c r="E513"/>
      <c r="F513" s="7"/>
      <c r="G513" s="7"/>
      <c r="H513" s="7"/>
      <c r="I513" s="7"/>
      <c r="J513" s="7"/>
    </row>
    <row r="514" spans="2:10" x14ac:dyDescent="0.15">
      <c r="B514"/>
      <c r="C514"/>
      <c r="D514"/>
      <c r="E514"/>
      <c r="F514" s="7"/>
      <c r="G514" s="7"/>
      <c r="H514" s="7"/>
      <c r="I514" s="7"/>
      <c r="J514" s="7"/>
    </row>
    <row r="515" spans="2:10" x14ac:dyDescent="0.15">
      <c r="B515"/>
      <c r="C515"/>
      <c r="D515"/>
      <c r="E515"/>
      <c r="F515" s="7"/>
      <c r="G515" s="7"/>
      <c r="H515" s="7"/>
      <c r="I515" s="7"/>
      <c r="J515" s="7"/>
    </row>
    <row r="516" spans="2:10" x14ac:dyDescent="0.15">
      <c r="B516"/>
      <c r="C516"/>
      <c r="D516"/>
      <c r="E516"/>
      <c r="F516" s="7"/>
      <c r="G516" s="7"/>
      <c r="H516" s="7"/>
      <c r="I516" s="7"/>
      <c r="J516" s="7"/>
    </row>
    <row r="517" spans="2:10" x14ac:dyDescent="0.15">
      <c r="B517"/>
      <c r="C517"/>
      <c r="D517"/>
      <c r="E517"/>
      <c r="F517" s="7"/>
      <c r="G517" s="7"/>
      <c r="H517" s="7"/>
      <c r="I517" s="7"/>
      <c r="J517" s="7"/>
    </row>
    <row r="518" spans="2:10" x14ac:dyDescent="0.15">
      <c r="B518"/>
      <c r="C518"/>
      <c r="D518"/>
      <c r="E518"/>
      <c r="F518" s="7"/>
      <c r="G518" s="7"/>
      <c r="H518" s="7"/>
      <c r="I518" s="7"/>
      <c r="J518" s="7"/>
    </row>
    <row r="519" spans="2:10" x14ac:dyDescent="0.15">
      <c r="B519"/>
      <c r="C519"/>
      <c r="D519"/>
      <c r="E519"/>
      <c r="F519" s="7"/>
      <c r="G519" s="7"/>
      <c r="H519" s="7"/>
      <c r="I519" s="7"/>
      <c r="J519" s="7"/>
    </row>
    <row r="520" spans="2:10" x14ac:dyDescent="0.15">
      <c r="B520"/>
      <c r="C520"/>
      <c r="D520"/>
      <c r="E520"/>
      <c r="F520" s="7"/>
      <c r="G520" s="7"/>
      <c r="H520" s="7"/>
      <c r="I520" s="7"/>
      <c r="J520" s="7"/>
    </row>
    <row r="521" spans="2:10" x14ac:dyDescent="0.15">
      <c r="B521"/>
      <c r="C521"/>
      <c r="D521"/>
      <c r="E521"/>
      <c r="F521" s="7"/>
      <c r="G521" s="7"/>
      <c r="H521" s="7"/>
      <c r="I521" s="7"/>
      <c r="J521" s="7"/>
    </row>
    <row r="522" spans="2:10" x14ac:dyDescent="0.15">
      <c r="B522"/>
      <c r="C522"/>
      <c r="D522"/>
      <c r="E522"/>
      <c r="F522" s="7"/>
      <c r="G522" s="7"/>
      <c r="H522" s="7"/>
      <c r="I522" s="7"/>
      <c r="J522" s="7"/>
    </row>
    <row r="523" spans="2:10" x14ac:dyDescent="0.15">
      <c r="B523"/>
      <c r="C523"/>
      <c r="D523"/>
      <c r="E523"/>
      <c r="F523" s="7"/>
      <c r="G523" s="7"/>
      <c r="H523" s="7"/>
      <c r="I523" s="7"/>
      <c r="J523" s="7"/>
    </row>
    <row r="524" spans="2:10" x14ac:dyDescent="0.15">
      <c r="B524"/>
      <c r="C524"/>
      <c r="D524"/>
      <c r="E524"/>
      <c r="F524" s="7"/>
      <c r="G524" s="7"/>
      <c r="H524" s="7"/>
      <c r="I524" s="7"/>
      <c r="J524" s="7"/>
    </row>
    <row r="525" spans="2:10" x14ac:dyDescent="0.15">
      <c r="B525"/>
      <c r="C525"/>
      <c r="D525"/>
      <c r="E525"/>
      <c r="F525" s="7"/>
      <c r="G525" s="7"/>
      <c r="H525" s="7"/>
      <c r="I525" s="7"/>
      <c r="J525" s="7"/>
    </row>
    <row r="526" spans="2:10" x14ac:dyDescent="0.15">
      <c r="B526"/>
      <c r="C526"/>
      <c r="D526"/>
      <c r="E526"/>
      <c r="F526" s="7"/>
      <c r="G526" s="7"/>
      <c r="H526" s="7"/>
      <c r="I526" s="7"/>
      <c r="J526" s="7"/>
    </row>
    <row r="527" spans="2:10" x14ac:dyDescent="0.15">
      <c r="B527"/>
      <c r="C527"/>
      <c r="D527"/>
      <c r="E527"/>
      <c r="F527" s="7"/>
      <c r="G527" s="7"/>
      <c r="H527" s="7"/>
      <c r="I527" s="7"/>
      <c r="J527" s="7"/>
    </row>
    <row r="528" spans="2:10" x14ac:dyDescent="0.15">
      <c r="B528"/>
      <c r="C528"/>
      <c r="D528"/>
      <c r="E528"/>
      <c r="F528" s="7"/>
      <c r="G528" s="7"/>
      <c r="H528" s="7"/>
      <c r="I528" s="7"/>
      <c r="J528" s="7"/>
    </row>
    <row r="529" spans="2:10" x14ac:dyDescent="0.15">
      <c r="B529"/>
      <c r="C529"/>
      <c r="D529"/>
      <c r="E529"/>
      <c r="F529" s="7"/>
      <c r="G529" s="7"/>
      <c r="H529" s="7"/>
      <c r="I529" s="7"/>
      <c r="J529" s="7"/>
    </row>
    <row r="530" spans="2:10" x14ac:dyDescent="0.15">
      <c r="B530"/>
      <c r="C530"/>
      <c r="D530"/>
      <c r="E530"/>
      <c r="F530" s="7"/>
      <c r="G530" s="7"/>
      <c r="H530" s="7"/>
      <c r="I530" s="7"/>
      <c r="J530" s="7"/>
    </row>
    <row r="531" spans="2:10" x14ac:dyDescent="0.15">
      <c r="B531"/>
      <c r="C531"/>
      <c r="D531"/>
      <c r="E531"/>
      <c r="F531" s="7"/>
      <c r="G531" s="7"/>
      <c r="H531" s="7"/>
      <c r="I531" s="7"/>
      <c r="J531" s="7"/>
    </row>
    <row r="532" spans="2:10" x14ac:dyDescent="0.15">
      <c r="B532"/>
      <c r="C532"/>
      <c r="D532"/>
      <c r="E532"/>
      <c r="F532" s="7"/>
      <c r="G532" s="7"/>
      <c r="H532" s="7"/>
      <c r="I532" s="7"/>
      <c r="J532" s="7"/>
    </row>
    <row r="533" spans="2:10" x14ac:dyDescent="0.15">
      <c r="B533"/>
      <c r="C533"/>
      <c r="D533"/>
      <c r="E533"/>
      <c r="F533" s="7"/>
      <c r="G533" s="7"/>
      <c r="H533" s="7"/>
      <c r="I533" s="7"/>
      <c r="J533" s="7"/>
    </row>
    <row r="534" spans="2:10" x14ac:dyDescent="0.15">
      <c r="B534"/>
      <c r="C534"/>
      <c r="D534"/>
      <c r="E534"/>
      <c r="F534" s="7"/>
      <c r="G534" s="7"/>
      <c r="H534" s="7"/>
      <c r="I534" s="7"/>
      <c r="J534" s="7"/>
    </row>
    <row r="535" spans="2:10" x14ac:dyDescent="0.15">
      <c r="B535"/>
      <c r="C535"/>
      <c r="D535"/>
      <c r="E535"/>
      <c r="F535" s="7"/>
      <c r="G535" s="7"/>
      <c r="H535" s="7"/>
      <c r="I535" s="7"/>
      <c r="J535" s="7"/>
    </row>
    <row r="536" spans="2:10" x14ac:dyDescent="0.15">
      <c r="B536"/>
      <c r="C536"/>
      <c r="D536"/>
      <c r="E536"/>
      <c r="F536" s="7"/>
      <c r="G536" s="7"/>
      <c r="H536" s="7"/>
      <c r="I536" s="7"/>
      <c r="J536" s="7"/>
    </row>
    <row r="537" spans="2:10" x14ac:dyDescent="0.15">
      <c r="B537"/>
      <c r="C537"/>
      <c r="D537"/>
      <c r="E537"/>
      <c r="F537" s="7"/>
      <c r="G537" s="7"/>
      <c r="H537" s="7"/>
      <c r="I537" s="7"/>
      <c r="J537" s="7"/>
    </row>
    <row r="538" spans="2:10" x14ac:dyDescent="0.15">
      <c r="B538"/>
      <c r="C538"/>
      <c r="D538"/>
      <c r="E538"/>
      <c r="F538" s="7"/>
      <c r="G538" s="7"/>
      <c r="H538" s="7"/>
      <c r="I538" s="7"/>
      <c r="J538" s="7"/>
    </row>
    <row r="539" spans="2:10" x14ac:dyDescent="0.15">
      <c r="B539"/>
      <c r="C539"/>
      <c r="D539"/>
      <c r="E539"/>
      <c r="F539" s="7"/>
      <c r="G539" s="7"/>
      <c r="H539" s="7"/>
      <c r="I539" s="7"/>
      <c r="J539" s="7"/>
    </row>
    <row r="540" spans="2:10" x14ac:dyDescent="0.15">
      <c r="B540"/>
      <c r="C540"/>
      <c r="D540"/>
      <c r="E540"/>
      <c r="F540" s="7"/>
      <c r="G540" s="7"/>
      <c r="H540" s="7"/>
      <c r="I540" s="7"/>
      <c r="J540" s="7"/>
    </row>
    <row r="541" spans="2:10" x14ac:dyDescent="0.15">
      <c r="B541"/>
      <c r="C541"/>
      <c r="D541"/>
      <c r="E541"/>
      <c r="F541" s="7"/>
      <c r="G541" s="7"/>
      <c r="H541" s="7"/>
      <c r="I541" s="7"/>
      <c r="J541" s="7"/>
    </row>
    <row r="542" spans="2:10" x14ac:dyDescent="0.15">
      <c r="B542"/>
      <c r="C542"/>
      <c r="D542"/>
      <c r="E542"/>
      <c r="F542" s="7"/>
      <c r="G542" s="7"/>
      <c r="H542" s="7"/>
      <c r="I542" s="7"/>
      <c r="J542" s="7"/>
    </row>
    <row r="543" spans="2:10" x14ac:dyDescent="0.15">
      <c r="B543"/>
      <c r="C543"/>
      <c r="D543"/>
      <c r="E543"/>
      <c r="F543" s="7"/>
      <c r="G543" s="7"/>
      <c r="H543" s="7"/>
      <c r="I543" s="7"/>
      <c r="J543" s="7"/>
    </row>
    <row r="544" spans="2:10" x14ac:dyDescent="0.15">
      <c r="B544"/>
      <c r="C544"/>
      <c r="D544"/>
      <c r="E544"/>
      <c r="F544" s="7"/>
      <c r="G544" s="7"/>
      <c r="H544" s="7"/>
      <c r="I544" s="7"/>
      <c r="J544" s="7"/>
    </row>
    <row r="545" spans="2:10" x14ac:dyDescent="0.15">
      <c r="B545"/>
      <c r="C545"/>
      <c r="D545"/>
      <c r="E545"/>
      <c r="F545" s="7"/>
      <c r="G545" s="7"/>
      <c r="H545" s="7"/>
      <c r="I545" s="7"/>
      <c r="J545" s="7"/>
    </row>
    <row r="546" spans="2:10" x14ac:dyDescent="0.15">
      <c r="B546"/>
      <c r="C546"/>
      <c r="D546"/>
      <c r="E546"/>
      <c r="F546" s="7"/>
      <c r="G546" s="7"/>
      <c r="H546" s="7"/>
      <c r="I546" s="7"/>
      <c r="J546" s="7"/>
    </row>
    <row r="547" spans="2:10" x14ac:dyDescent="0.15">
      <c r="B547"/>
      <c r="C547"/>
      <c r="D547"/>
      <c r="E547"/>
      <c r="F547" s="7"/>
      <c r="G547" s="7"/>
      <c r="H547" s="7"/>
      <c r="I547" s="7"/>
      <c r="J547" s="7"/>
    </row>
    <row r="548" spans="2:10" x14ac:dyDescent="0.15">
      <c r="B548"/>
      <c r="C548"/>
      <c r="D548"/>
      <c r="E548"/>
      <c r="F548" s="7"/>
      <c r="G548" s="7"/>
      <c r="H548" s="7"/>
      <c r="I548" s="7"/>
      <c r="J548" s="7"/>
    </row>
    <row r="549" spans="2:10" x14ac:dyDescent="0.15">
      <c r="B549"/>
      <c r="C549"/>
      <c r="D549"/>
      <c r="E549"/>
      <c r="F549" s="7"/>
      <c r="G549" s="7"/>
      <c r="H549" s="7"/>
      <c r="I549" s="7"/>
      <c r="J549" s="7"/>
    </row>
    <row r="550" spans="2:10" x14ac:dyDescent="0.15">
      <c r="B550"/>
      <c r="C550"/>
      <c r="D550"/>
      <c r="E550"/>
      <c r="F550" s="7"/>
      <c r="G550" s="7"/>
      <c r="H550" s="7"/>
      <c r="I550" s="7"/>
      <c r="J550" s="7"/>
    </row>
    <row r="551" spans="2:10" x14ac:dyDescent="0.15">
      <c r="B551"/>
      <c r="C551"/>
      <c r="D551"/>
      <c r="E551"/>
      <c r="F551" s="7"/>
      <c r="G551" s="7"/>
      <c r="H551" s="7"/>
      <c r="I551" s="7"/>
      <c r="J551" s="7"/>
    </row>
    <row r="552" spans="2:10" x14ac:dyDescent="0.15">
      <c r="B552"/>
      <c r="C552"/>
      <c r="D552"/>
      <c r="E552"/>
      <c r="F552" s="7"/>
      <c r="G552" s="7"/>
      <c r="H552" s="7"/>
      <c r="I552" s="7"/>
      <c r="J552" s="7"/>
    </row>
    <row r="553" spans="2:10" x14ac:dyDescent="0.15">
      <c r="B553"/>
      <c r="C553"/>
      <c r="D553"/>
      <c r="E553"/>
      <c r="F553" s="7"/>
      <c r="G553" s="7"/>
      <c r="H553" s="7"/>
      <c r="I553" s="7"/>
      <c r="J553" s="7"/>
    </row>
    <row r="554" spans="2:10" x14ac:dyDescent="0.15">
      <c r="B554"/>
      <c r="C554"/>
      <c r="D554"/>
      <c r="E554"/>
      <c r="F554" s="7"/>
      <c r="G554" s="7"/>
      <c r="H554" s="7"/>
      <c r="I554" s="7"/>
      <c r="J554" s="7"/>
    </row>
    <row r="555" spans="2:10" x14ac:dyDescent="0.15">
      <c r="B555"/>
      <c r="C555"/>
      <c r="D555"/>
      <c r="E555"/>
      <c r="F555" s="7"/>
      <c r="G555" s="7"/>
      <c r="H555" s="7"/>
      <c r="I555" s="7"/>
      <c r="J555" s="7"/>
    </row>
    <row r="556" spans="2:10" x14ac:dyDescent="0.15">
      <c r="B556"/>
      <c r="C556"/>
      <c r="D556"/>
      <c r="E556"/>
      <c r="F556" s="7"/>
      <c r="G556" s="7"/>
      <c r="H556" s="7"/>
      <c r="I556" s="7"/>
      <c r="J556" s="7"/>
    </row>
    <row r="557" spans="2:10" x14ac:dyDescent="0.15">
      <c r="B557"/>
      <c r="C557"/>
      <c r="D557"/>
      <c r="E557"/>
      <c r="F557" s="7"/>
      <c r="G557" s="7"/>
      <c r="H557" s="7"/>
      <c r="I557" s="7"/>
      <c r="J557" s="7"/>
    </row>
    <row r="558" spans="2:10" x14ac:dyDescent="0.15">
      <c r="B558"/>
      <c r="C558"/>
      <c r="D558"/>
      <c r="E558"/>
      <c r="F558" s="7"/>
      <c r="G558" s="7"/>
      <c r="H558" s="7"/>
      <c r="I558" s="7"/>
      <c r="J558" s="7"/>
    </row>
    <row r="559" spans="2:10" x14ac:dyDescent="0.15">
      <c r="B559"/>
      <c r="C559"/>
      <c r="D559"/>
      <c r="E559"/>
      <c r="F559" s="7"/>
      <c r="G559" s="7"/>
      <c r="H559" s="7"/>
      <c r="I559" s="7"/>
      <c r="J559" s="7"/>
    </row>
    <row r="560" spans="2:10" x14ac:dyDescent="0.15">
      <c r="B560"/>
      <c r="C560"/>
      <c r="D560"/>
      <c r="E560"/>
      <c r="F560" s="7"/>
      <c r="G560" s="7"/>
      <c r="H560" s="7"/>
      <c r="I560" s="7"/>
      <c r="J560" s="7"/>
    </row>
    <row r="561" spans="2:10" x14ac:dyDescent="0.15">
      <c r="B561"/>
      <c r="C561"/>
      <c r="D561"/>
      <c r="E561"/>
      <c r="F561" s="7"/>
      <c r="G561" s="7"/>
      <c r="H561" s="7"/>
      <c r="I561" s="7"/>
      <c r="J561" s="7"/>
    </row>
    <row r="562" spans="2:10" x14ac:dyDescent="0.15">
      <c r="B562"/>
      <c r="C562"/>
      <c r="D562"/>
      <c r="E562"/>
      <c r="F562" s="7"/>
      <c r="G562" s="7"/>
      <c r="H562" s="7"/>
      <c r="I562" s="7"/>
      <c r="J562" s="7"/>
    </row>
    <row r="563" spans="2:10" x14ac:dyDescent="0.15">
      <c r="B563"/>
      <c r="C563"/>
      <c r="D563"/>
      <c r="E563"/>
      <c r="F563" s="7"/>
      <c r="G563" s="7"/>
      <c r="H563" s="7"/>
      <c r="I563" s="7"/>
      <c r="J563" s="7"/>
    </row>
    <row r="564" spans="2:10" x14ac:dyDescent="0.15">
      <c r="B564"/>
      <c r="C564"/>
      <c r="D564"/>
      <c r="E564"/>
      <c r="F564" s="7"/>
      <c r="G564" s="7"/>
      <c r="H564" s="7"/>
      <c r="I564" s="7"/>
      <c r="J564" s="7"/>
    </row>
    <row r="565" spans="2:10" x14ac:dyDescent="0.15">
      <c r="B565"/>
      <c r="C565"/>
      <c r="D565"/>
      <c r="E565"/>
      <c r="F565" s="7"/>
      <c r="G565" s="7"/>
      <c r="H565" s="7"/>
      <c r="I565" s="7"/>
      <c r="J565" s="7"/>
    </row>
    <row r="566" spans="2:10" x14ac:dyDescent="0.15">
      <c r="B566"/>
      <c r="C566"/>
      <c r="D566"/>
      <c r="E566"/>
      <c r="F566" s="7"/>
      <c r="G566" s="7"/>
      <c r="H566" s="7"/>
      <c r="I566" s="7"/>
      <c r="J566" s="7"/>
    </row>
    <row r="567" spans="2:10" x14ac:dyDescent="0.15">
      <c r="B567"/>
      <c r="C567"/>
      <c r="D567"/>
      <c r="E567"/>
      <c r="F567" s="7"/>
      <c r="G567" s="7"/>
      <c r="H567" s="7"/>
      <c r="I567" s="7"/>
      <c r="J567" s="7"/>
    </row>
    <row r="568" spans="2:10" x14ac:dyDescent="0.15">
      <c r="B568"/>
      <c r="C568"/>
      <c r="D568"/>
      <c r="E568"/>
      <c r="F568" s="7"/>
      <c r="G568" s="7"/>
      <c r="H568" s="7"/>
      <c r="I568" s="7"/>
      <c r="J568" s="7"/>
    </row>
    <row r="569" spans="2:10" x14ac:dyDescent="0.15">
      <c r="B569"/>
      <c r="C569"/>
      <c r="D569"/>
      <c r="E569"/>
      <c r="F569" s="7"/>
      <c r="G569" s="7"/>
      <c r="H569" s="7"/>
      <c r="I569" s="7"/>
      <c r="J569" s="7"/>
    </row>
    <row r="570" spans="2:10" x14ac:dyDescent="0.15">
      <c r="B570"/>
      <c r="C570"/>
      <c r="D570"/>
      <c r="E570"/>
      <c r="F570" s="7"/>
      <c r="G570" s="7"/>
      <c r="H570" s="7"/>
      <c r="I570" s="7"/>
      <c r="J570" s="7"/>
    </row>
    <row r="571" spans="2:10" x14ac:dyDescent="0.15">
      <c r="B571"/>
      <c r="C571"/>
      <c r="D571"/>
      <c r="E571"/>
      <c r="F571" s="7"/>
      <c r="G571" s="7"/>
      <c r="H571" s="7"/>
      <c r="I571" s="7"/>
      <c r="J571" s="7"/>
    </row>
    <row r="572" spans="2:10" x14ac:dyDescent="0.15">
      <c r="B572"/>
      <c r="C572"/>
      <c r="D572"/>
      <c r="E572"/>
      <c r="F572" s="7"/>
      <c r="G572" s="7"/>
      <c r="H572" s="7"/>
      <c r="I572" s="7"/>
      <c r="J572" s="7"/>
    </row>
    <row r="573" spans="2:10" x14ac:dyDescent="0.15">
      <c r="B573"/>
      <c r="C573"/>
      <c r="D573"/>
      <c r="E573"/>
      <c r="F573" s="7"/>
      <c r="G573" s="7"/>
      <c r="H573" s="7"/>
      <c r="I573" s="7"/>
      <c r="J573" s="7"/>
    </row>
    <row r="574" spans="2:10" x14ac:dyDescent="0.15">
      <c r="B574"/>
      <c r="C574"/>
      <c r="D574"/>
      <c r="E574"/>
      <c r="F574" s="7"/>
      <c r="G574" s="7"/>
      <c r="H574" s="7"/>
      <c r="I574" s="7"/>
      <c r="J574" s="7"/>
    </row>
    <row r="575" spans="2:10" x14ac:dyDescent="0.15">
      <c r="B575"/>
      <c r="C575"/>
      <c r="D575"/>
      <c r="E575"/>
      <c r="F575" s="7"/>
      <c r="G575" s="7"/>
      <c r="H575" s="7"/>
      <c r="I575" s="7"/>
      <c r="J575" s="7"/>
    </row>
    <row r="576" spans="2:10" x14ac:dyDescent="0.15">
      <c r="B576"/>
      <c r="C576"/>
      <c r="D576"/>
      <c r="E576"/>
      <c r="F576" s="7"/>
      <c r="G576" s="7"/>
      <c r="H576" s="7"/>
      <c r="I576" s="7"/>
      <c r="J576" s="7"/>
    </row>
    <row r="577" spans="2:10" x14ac:dyDescent="0.15">
      <c r="B577"/>
      <c r="C577"/>
      <c r="D577"/>
      <c r="E577"/>
      <c r="F577" s="7"/>
      <c r="G577" s="7"/>
      <c r="H577" s="7"/>
      <c r="I577" s="7"/>
      <c r="J577" s="7"/>
    </row>
    <row r="578" spans="2:10" x14ac:dyDescent="0.15">
      <c r="B578"/>
      <c r="C578"/>
      <c r="D578"/>
      <c r="E578"/>
      <c r="F578" s="7"/>
      <c r="G578" s="7"/>
      <c r="H578" s="7"/>
      <c r="I578" s="7"/>
      <c r="J578" s="7"/>
    </row>
    <row r="579" spans="2:10" x14ac:dyDescent="0.15">
      <c r="B579"/>
      <c r="C579"/>
      <c r="D579"/>
      <c r="E579"/>
      <c r="F579" s="7"/>
      <c r="G579" s="7"/>
      <c r="H579" s="7"/>
      <c r="I579" s="7"/>
      <c r="J579" s="7"/>
    </row>
    <row r="580" spans="2:10" x14ac:dyDescent="0.15">
      <c r="B580"/>
      <c r="C580"/>
      <c r="D580"/>
      <c r="E580"/>
      <c r="F580" s="7"/>
      <c r="G580" s="7"/>
      <c r="H580" s="7"/>
      <c r="I580" s="7"/>
      <c r="J580" s="7"/>
    </row>
    <row r="581" spans="2:10" x14ac:dyDescent="0.15">
      <c r="B581"/>
      <c r="C581"/>
      <c r="D581"/>
      <c r="E581"/>
      <c r="F581" s="7"/>
      <c r="G581" s="7"/>
      <c r="H581" s="7"/>
      <c r="I581" s="7"/>
      <c r="J581" s="7"/>
    </row>
    <row r="582" spans="2:10" x14ac:dyDescent="0.15">
      <c r="B582"/>
      <c r="C582"/>
      <c r="D582"/>
      <c r="E582"/>
      <c r="F582" s="7"/>
      <c r="G582" s="7"/>
      <c r="H582" s="7"/>
      <c r="I582" s="7"/>
      <c r="J582" s="7"/>
    </row>
    <row r="583" spans="2:10" x14ac:dyDescent="0.15">
      <c r="B583"/>
      <c r="C583"/>
      <c r="D583"/>
      <c r="E583"/>
      <c r="F583" s="7"/>
      <c r="G583" s="7"/>
      <c r="H583" s="7"/>
      <c r="I583" s="7"/>
      <c r="J583" s="7"/>
    </row>
    <row r="584" spans="2:10" x14ac:dyDescent="0.15">
      <c r="B584"/>
      <c r="C584"/>
      <c r="D584"/>
      <c r="E584"/>
      <c r="F584" s="7"/>
      <c r="G584" s="7"/>
      <c r="H584" s="7"/>
      <c r="I584" s="7"/>
      <c r="J584" s="7"/>
    </row>
    <row r="585" spans="2:10" x14ac:dyDescent="0.15">
      <c r="B585"/>
      <c r="C585"/>
      <c r="D585"/>
      <c r="E585"/>
      <c r="F585" s="7"/>
      <c r="G585" s="7"/>
      <c r="H585" s="7"/>
      <c r="I585" s="7"/>
      <c r="J585" s="7"/>
    </row>
    <row r="586" spans="2:10" x14ac:dyDescent="0.15">
      <c r="B586"/>
      <c r="C586"/>
      <c r="D586"/>
      <c r="E586"/>
      <c r="F586" s="7"/>
      <c r="G586" s="7"/>
      <c r="H586" s="7"/>
      <c r="I586" s="7"/>
      <c r="J586" s="7"/>
    </row>
    <row r="587" spans="2:10" x14ac:dyDescent="0.15">
      <c r="B587"/>
      <c r="C587"/>
      <c r="D587"/>
      <c r="E587"/>
      <c r="F587" s="7"/>
      <c r="G587" s="7"/>
      <c r="H587" s="7"/>
      <c r="I587" s="7"/>
      <c r="J587" s="7"/>
    </row>
    <row r="588" spans="2:10" x14ac:dyDescent="0.15">
      <c r="B588"/>
      <c r="C588"/>
      <c r="D588"/>
      <c r="E588"/>
      <c r="F588" s="7"/>
      <c r="G588" s="7"/>
      <c r="H588" s="7"/>
      <c r="I588" s="7"/>
      <c r="J588" s="7"/>
    </row>
    <row r="589" spans="2:10" x14ac:dyDescent="0.15">
      <c r="B589"/>
      <c r="C589"/>
      <c r="D589"/>
      <c r="E589"/>
      <c r="F589" s="7"/>
      <c r="G589" s="7"/>
      <c r="H589" s="7"/>
      <c r="I589" s="7"/>
      <c r="J589" s="7"/>
    </row>
    <row r="590" spans="2:10" x14ac:dyDescent="0.15">
      <c r="B590"/>
      <c r="C590"/>
      <c r="D590"/>
      <c r="E590"/>
      <c r="F590" s="7"/>
      <c r="G590" s="7"/>
      <c r="H590" s="7"/>
      <c r="I590" s="7"/>
      <c r="J590" s="7"/>
    </row>
    <row r="591" spans="2:10" x14ac:dyDescent="0.15">
      <c r="B591"/>
      <c r="C591"/>
      <c r="D591"/>
      <c r="E591"/>
      <c r="F591" s="7"/>
      <c r="G591" s="7"/>
      <c r="H591" s="7"/>
      <c r="I591" s="7"/>
      <c r="J591" s="7"/>
    </row>
    <row r="592" spans="2:10" x14ac:dyDescent="0.15">
      <c r="B592"/>
      <c r="C592"/>
      <c r="D592"/>
      <c r="E592"/>
      <c r="F592" s="7"/>
      <c r="G592" s="7"/>
      <c r="H592" s="7"/>
      <c r="I592" s="7"/>
      <c r="J592" s="7"/>
    </row>
    <row r="593" spans="2:10" x14ac:dyDescent="0.15">
      <c r="B593"/>
      <c r="C593"/>
      <c r="D593"/>
      <c r="E593"/>
      <c r="F593" s="7"/>
      <c r="G593" s="7"/>
      <c r="H593" s="7"/>
      <c r="I593" s="7"/>
      <c r="J593" s="7"/>
    </row>
    <row r="594" spans="2:10" x14ac:dyDescent="0.15">
      <c r="B594"/>
      <c r="C594"/>
      <c r="D594"/>
      <c r="E594"/>
      <c r="F594" s="7"/>
      <c r="G594" s="7"/>
      <c r="H594" s="7"/>
      <c r="I594" s="7"/>
      <c r="J594" s="7"/>
    </row>
    <row r="595" spans="2:10" x14ac:dyDescent="0.15">
      <c r="B595"/>
      <c r="C595"/>
      <c r="D595"/>
      <c r="E595"/>
      <c r="F595" s="7"/>
      <c r="G595" s="7"/>
      <c r="H595" s="7"/>
      <c r="I595" s="7"/>
      <c r="J595" s="7"/>
    </row>
    <row r="596" spans="2:10" x14ac:dyDescent="0.15">
      <c r="B596"/>
      <c r="C596"/>
      <c r="D596"/>
      <c r="E596"/>
      <c r="F596" s="7"/>
      <c r="G596" s="7"/>
      <c r="H596" s="7"/>
      <c r="I596" s="7"/>
      <c r="J596" s="7"/>
    </row>
    <row r="597" spans="2:10" x14ac:dyDescent="0.15">
      <c r="B597"/>
      <c r="C597"/>
      <c r="D597"/>
      <c r="E597"/>
      <c r="F597" s="7"/>
      <c r="G597" s="7"/>
      <c r="H597" s="7"/>
      <c r="I597" s="7"/>
      <c r="J597" s="7"/>
    </row>
    <row r="598" spans="2:10" x14ac:dyDescent="0.15">
      <c r="B598"/>
      <c r="C598"/>
      <c r="D598"/>
      <c r="E598"/>
      <c r="F598" s="7"/>
      <c r="G598" s="7"/>
      <c r="H598" s="7"/>
      <c r="I598" s="7"/>
      <c r="J598" s="7"/>
    </row>
    <row r="599" spans="2:10" x14ac:dyDescent="0.15">
      <c r="B599"/>
      <c r="C599"/>
      <c r="D599"/>
      <c r="E599"/>
      <c r="F599" s="7"/>
      <c r="G599" s="7"/>
      <c r="H599" s="7"/>
      <c r="I599" s="7"/>
      <c r="J599" s="7"/>
    </row>
    <row r="600" spans="2:10" x14ac:dyDescent="0.15">
      <c r="B600"/>
      <c r="C600"/>
      <c r="D600"/>
      <c r="E600"/>
      <c r="F600" s="7"/>
      <c r="G600" s="7"/>
      <c r="H600" s="7"/>
      <c r="I600" s="7"/>
      <c r="J600" s="7"/>
    </row>
    <row r="601" spans="2:10" x14ac:dyDescent="0.15">
      <c r="B601"/>
      <c r="C601"/>
      <c r="D601"/>
      <c r="E601"/>
      <c r="F601" s="7"/>
      <c r="G601" s="7"/>
      <c r="H601" s="7"/>
      <c r="I601" s="7"/>
      <c r="J601" s="7"/>
    </row>
    <row r="602" spans="2:10" x14ac:dyDescent="0.15">
      <c r="B602"/>
      <c r="C602"/>
      <c r="D602"/>
      <c r="E602"/>
      <c r="F602" s="7"/>
      <c r="G602" s="7"/>
      <c r="H602" s="7"/>
      <c r="I602" s="7"/>
      <c r="J602" s="7"/>
    </row>
    <row r="603" spans="2:10" x14ac:dyDescent="0.15">
      <c r="B603"/>
      <c r="C603"/>
      <c r="D603"/>
      <c r="E603"/>
      <c r="F603" s="7"/>
      <c r="G603" s="7"/>
      <c r="H603" s="7"/>
      <c r="I603" s="7"/>
      <c r="J603" s="7"/>
    </row>
    <row r="604" spans="2:10" x14ac:dyDescent="0.15">
      <c r="B604"/>
      <c r="C604"/>
      <c r="D604"/>
      <c r="E604"/>
      <c r="F604" s="7"/>
      <c r="G604" s="7"/>
      <c r="H604" s="7"/>
      <c r="I604" s="7"/>
      <c r="J604" s="7"/>
    </row>
    <row r="605" spans="2:10" x14ac:dyDescent="0.15">
      <c r="B605"/>
      <c r="C605"/>
      <c r="D605"/>
      <c r="E605"/>
      <c r="F605" s="7"/>
      <c r="G605" s="7"/>
      <c r="H605" s="7"/>
      <c r="I605" s="7"/>
      <c r="J605" s="7"/>
    </row>
    <row r="606" spans="2:10" x14ac:dyDescent="0.15">
      <c r="B606"/>
      <c r="C606"/>
      <c r="D606"/>
      <c r="E606"/>
      <c r="F606" s="7"/>
      <c r="G606" s="7"/>
      <c r="H606" s="7"/>
      <c r="I606" s="7"/>
      <c r="J606" s="7"/>
    </row>
    <row r="607" spans="2:10" x14ac:dyDescent="0.15">
      <c r="B607"/>
      <c r="C607"/>
      <c r="D607"/>
      <c r="E607"/>
      <c r="F607" s="7"/>
      <c r="G607" s="7"/>
      <c r="H607" s="7"/>
      <c r="I607" s="7"/>
      <c r="J607" s="7"/>
    </row>
    <row r="608" spans="2:10" x14ac:dyDescent="0.15">
      <c r="B608"/>
      <c r="C608"/>
      <c r="D608"/>
      <c r="E608"/>
      <c r="F608" s="7"/>
      <c r="G608" s="7"/>
      <c r="H608" s="7"/>
      <c r="I608" s="7"/>
      <c r="J608" s="7"/>
    </row>
    <row r="609" spans="2:10" x14ac:dyDescent="0.15">
      <c r="B609"/>
      <c r="C609"/>
      <c r="D609"/>
      <c r="E609"/>
      <c r="F609" s="7"/>
      <c r="G609" s="7"/>
      <c r="H609" s="7"/>
      <c r="I609" s="7"/>
      <c r="J609" s="7"/>
    </row>
    <row r="610" spans="2:10" x14ac:dyDescent="0.15">
      <c r="B610"/>
      <c r="C610"/>
      <c r="D610"/>
      <c r="E610"/>
      <c r="F610" s="7"/>
      <c r="G610" s="7"/>
      <c r="H610" s="7"/>
      <c r="I610" s="7"/>
      <c r="J610" s="7"/>
    </row>
    <row r="611" spans="2:10" x14ac:dyDescent="0.15">
      <c r="B611"/>
      <c r="C611"/>
      <c r="D611"/>
      <c r="E611"/>
      <c r="F611" s="7"/>
      <c r="G611" s="7"/>
      <c r="H611" s="7"/>
      <c r="I611" s="7"/>
      <c r="J611" s="7"/>
    </row>
    <row r="612" spans="2:10" x14ac:dyDescent="0.15">
      <c r="B612"/>
      <c r="C612"/>
      <c r="D612"/>
      <c r="E612"/>
      <c r="F612" s="7"/>
      <c r="G612" s="7"/>
      <c r="H612" s="7"/>
      <c r="I612" s="7"/>
      <c r="J612" s="7"/>
    </row>
    <row r="613" spans="2:10" x14ac:dyDescent="0.15">
      <c r="B613"/>
      <c r="C613"/>
      <c r="D613"/>
      <c r="E613"/>
      <c r="F613" s="7"/>
      <c r="G613" s="7"/>
      <c r="H613" s="7"/>
      <c r="I613" s="7"/>
      <c r="J613" s="7"/>
    </row>
    <row r="614" spans="2:10" x14ac:dyDescent="0.15">
      <c r="B614"/>
      <c r="C614"/>
      <c r="D614"/>
      <c r="E614"/>
      <c r="F614" s="7"/>
      <c r="G614" s="7"/>
      <c r="H614" s="7"/>
      <c r="I614" s="7"/>
      <c r="J614" s="7"/>
    </row>
    <row r="615" spans="2:10" x14ac:dyDescent="0.15">
      <c r="B615"/>
      <c r="C615"/>
      <c r="D615"/>
      <c r="E615"/>
      <c r="F615" s="7"/>
      <c r="G615" s="7"/>
      <c r="H615" s="7"/>
      <c r="I615" s="7"/>
      <c r="J615" s="7"/>
    </row>
    <row r="616" spans="2:10" x14ac:dyDescent="0.15">
      <c r="B616"/>
      <c r="C616"/>
      <c r="D616"/>
      <c r="E616"/>
      <c r="F616" s="7"/>
      <c r="G616" s="7"/>
      <c r="H616" s="7"/>
      <c r="I616" s="7"/>
      <c r="J616" s="7"/>
    </row>
    <row r="617" spans="2:10" x14ac:dyDescent="0.15">
      <c r="B617"/>
      <c r="C617"/>
      <c r="D617"/>
      <c r="E617"/>
      <c r="F617" s="7"/>
      <c r="G617" s="7"/>
      <c r="H617" s="7"/>
      <c r="I617" s="7"/>
      <c r="J617" s="7"/>
    </row>
    <row r="618" spans="2:10" x14ac:dyDescent="0.15">
      <c r="B618"/>
      <c r="C618"/>
      <c r="D618"/>
      <c r="E618"/>
      <c r="F618" s="7"/>
      <c r="G618" s="7"/>
      <c r="H618" s="7"/>
      <c r="I618" s="7"/>
      <c r="J618" s="7"/>
    </row>
    <row r="619" spans="2:10" x14ac:dyDescent="0.15">
      <c r="B619"/>
      <c r="C619"/>
      <c r="D619"/>
      <c r="E619"/>
      <c r="F619" s="7"/>
      <c r="G619" s="7"/>
      <c r="H619" s="7"/>
      <c r="I619" s="7"/>
      <c r="J619" s="7"/>
    </row>
    <row r="620" spans="2:10" x14ac:dyDescent="0.15">
      <c r="B620"/>
      <c r="C620"/>
      <c r="D620"/>
      <c r="E620"/>
      <c r="F620" s="7"/>
      <c r="G620" s="7"/>
      <c r="H620" s="7"/>
      <c r="I620" s="7"/>
      <c r="J620" s="7"/>
    </row>
    <row r="621" spans="2:10" x14ac:dyDescent="0.15">
      <c r="B621"/>
      <c r="C621"/>
      <c r="D621"/>
      <c r="E621"/>
      <c r="F621" s="7"/>
      <c r="G621" s="7"/>
      <c r="H621" s="7"/>
      <c r="I621" s="7"/>
      <c r="J621" s="7"/>
    </row>
    <row r="622" spans="2:10" x14ac:dyDescent="0.15">
      <c r="B622"/>
      <c r="C622"/>
      <c r="D622"/>
      <c r="E622"/>
      <c r="F622" s="7"/>
      <c r="G622" s="7"/>
      <c r="H622" s="7"/>
      <c r="I622" s="7"/>
      <c r="J622" s="7"/>
    </row>
    <row r="623" spans="2:10" x14ac:dyDescent="0.15">
      <c r="B623"/>
      <c r="C623"/>
      <c r="D623"/>
      <c r="E623"/>
      <c r="F623" s="7"/>
      <c r="G623" s="7"/>
      <c r="H623" s="7"/>
      <c r="I623" s="7"/>
      <c r="J623" s="7"/>
    </row>
    <row r="624" spans="2:10" x14ac:dyDescent="0.15">
      <c r="B624"/>
      <c r="C624"/>
      <c r="D624"/>
      <c r="E624"/>
      <c r="F624" s="7"/>
      <c r="G624" s="7"/>
      <c r="H624" s="7"/>
      <c r="I624" s="7"/>
      <c r="J624" s="7"/>
    </row>
    <row r="625" spans="2:10" x14ac:dyDescent="0.15">
      <c r="B625"/>
      <c r="C625"/>
      <c r="D625"/>
      <c r="E625"/>
      <c r="F625" s="7"/>
      <c r="G625" s="7"/>
      <c r="H625" s="7"/>
      <c r="I625" s="7"/>
      <c r="J625" s="7"/>
    </row>
    <row r="626" spans="2:10" x14ac:dyDescent="0.15">
      <c r="B626"/>
      <c r="C626"/>
      <c r="D626"/>
      <c r="E626"/>
      <c r="F626" s="7"/>
      <c r="G626" s="7"/>
      <c r="H626" s="7"/>
      <c r="I626" s="7"/>
      <c r="J626" s="7"/>
    </row>
    <row r="627" spans="2:10" x14ac:dyDescent="0.15">
      <c r="B627"/>
      <c r="C627"/>
      <c r="D627"/>
      <c r="E627"/>
      <c r="F627" s="7"/>
      <c r="G627" s="7"/>
      <c r="H627" s="7"/>
      <c r="I627" s="7"/>
      <c r="J627" s="7"/>
    </row>
    <row r="628" spans="2:10" x14ac:dyDescent="0.15">
      <c r="B628"/>
      <c r="C628"/>
      <c r="D628"/>
      <c r="E628"/>
      <c r="F628" s="7"/>
      <c r="G628" s="7"/>
      <c r="H628" s="7"/>
      <c r="I628" s="7"/>
      <c r="J628" s="7"/>
    </row>
    <row r="629" spans="2:10" x14ac:dyDescent="0.15">
      <c r="B629"/>
      <c r="C629"/>
      <c r="D629"/>
      <c r="E629"/>
      <c r="F629" s="7"/>
      <c r="G629" s="7"/>
      <c r="H629" s="7"/>
      <c r="I629" s="7"/>
      <c r="J629" s="7"/>
    </row>
    <row r="630" spans="2:10" x14ac:dyDescent="0.15">
      <c r="B630"/>
      <c r="C630"/>
      <c r="D630"/>
      <c r="E630"/>
      <c r="F630" s="7"/>
      <c r="G630" s="7"/>
      <c r="H630" s="7"/>
      <c r="I630" s="7"/>
      <c r="J630" s="7"/>
    </row>
    <row r="631" spans="2:10" x14ac:dyDescent="0.15">
      <c r="B631"/>
      <c r="C631"/>
      <c r="D631"/>
      <c r="E631"/>
      <c r="F631" s="7"/>
      <c r="G631" s="7"/>
      <c r="H631" s="7"/>
      <c r="I631" s="7"/>
      <c r="J631" s="7"/>
    </row>
    <row r="632" spans="2:10" x14ac:dyDescent="0.15">
      <c r="B632"/>
      <c r="C632"/>
      <c r="D632"/>
      <c r="E632"/>
      <c r="F632" s="7"/>
      <c r="G632" s="7"/>
      <c r="H632" s="7"/>
      <c r="I632" s="7"/>
      <c r="J632" s="7"/>
    </row>
    <row r="633" spans="2:10" x14ac:dyDescent="0.15">
      <c r="B633"/>
      <c r="C633"/>
      <c r="D633"/>
      <c r="E633"/>
      <c r="F633" s="7"/>
      <c r="G633" s="7"/>
      <c r="H633" s="7"/>
      <c r="I633" s="7"/>
      <c r="J633" s="7"/>
    </row>
    <row r="634" spans="2:10" x14ac:dyDescent="0.15">
      <c r="B634"/>
      <c r="C634"/>
      <c r="D634"/>
      <c r="E634"/>
      <c r="F634" s="7"/>
      <c r="G634" s="7"/>
      <c r="H634" s="7"/>
      <c r="I634" s="7"/>
      <c r="J634" s="7"/>
    </row>
    <row r="635" spans="2:10" x14ac:dyDescent="0.15">
      <c r="B635"/>
      <c r="C635"/>
      <c r="D635"/>
      <c r="E635"/>
      <c r="F635" s="7"/>
      <c r="G635" s="7"/>
      <c r="H635" s="7"/>
      <c r="I635" s="7"/>
      <c r="J635" s="7"/>
    </row>
    <row r="636" spans="2:10" x14ac:dyDescent="0.15">
      <c r="B636"/>
      <c r="C636"/>
      <c r="D636"/>
      <c r="E636"/>
      <c r="F636" s="7"/>
      <c r="G636" s="7"/>
      <c r="H636" s="7"/>
      <c r="I636" s="7"/>
      <c r="J636" s="7"/>
    </row>
    <row r="637" spans="2:10" x14ac:dyDescent="0.15">
      <c r="B637"/>
      <c r="C637"/>
      <c r="D637"/>
      <c r="E637"/>
      <c r="F637" s="7"/>
      <c r="G637" s="7"/>
      <c r="H637" s="7"/>
      <c r="I637" s="7"/>
      <c r="J637" s="7"/>
    </row>
    <row r="638" spans="2:10" x14ac:dyDescent="0.15">
      <c r="B638"/>
      <c r="C638"/>
      <c r="D638"/>
      <c r="E638"/>
      <c r="F638" s="7"/>
      <c r="G638" s="7"/>
      <c r="H638" s="7"/>
      <c r="I638" s="7"/>
      <c r="J638" s="7"/>
    </row>
    <row r="639" spans="2:10" x14ac:dyDescent="0.15">
      <c r="B639"/>
      <c r="C639"/>
      <c r="D639"/>
      <c r="E639"/>
      <c r="F639" s="7"/>
      <c r="G639" s="7"/>
      <c r="H639" s="7"/>
      <c r="I639" s="7"/>
      <c r="J639" s="7"/>
    </row>
    <row r="640" spans="2:10" x14ac:dyDescent="0.15">
      <c r="B640"/>
      <c r="C640"/>
      <c r="D640"/>
      <c r="E640"/>
      <c r="F640" s="7"/>
      <c r="G640" s="7"/>
      <c r="H640" s="7"/>
      <c r="I640" s="7"/>
      <c r="J640" s="7"/>
    </row>
    <row r="641" spans="2:10" x14ac:dyDescent="0.15">
      <c r="B641"/>
      <c r="C641"/>
      <c r="D641"/>
      <c r="E641"/>
      <c r="F641" s="7"/>
      <c r="G641" s="7"/>
      <c r="H641" s="7"/>
      <c r="I641" s="7"/>
      <c r="J641" s="7"/>
    </row>
    <row r="642" spans="2:10" x14ac:dyDescent="0.15">
      <c r="B642"/>
      <c r="C642"/>
      <c r="D642"/>
      <c r="E642"/>
      <c r="F642" s="7"/>
      <c r="G642" s="7"/>
      <c r="H642" s="7"/>
      <c r="I642" s="7"/>
      <c r="J642" s="7"/>
    </row>
    <row r="643" spans="2:10" x14ac:dyDescent="0.15">
      <c r="B643"/>
      <c r="C643"/>
      <c r="D643"/>
      <c r="E643"/>
      <c r="F643" s="7"/>
      <c r="G643" s="7"/>
      <c r="H643" s="7"/>
      <c r="I643" s="7"/>
      <c r="J643" s="7"/>
    </row>
    <row r="644" spans="2:10" x14ac:dyDescent="0.15">
      <c r="B644"/>
      <c r="C644"/>
      <c r="D644"/>
      <c r="E644"/>
      <c r="F644" s="7"/>
      <c r="G644" s="7"/>
      <c r="H644" s="7"/>
      <c r="I644" s="7"/>
      <c r="J644" s="7"/>
    </row>
    <row r="645" spans="2:10" x14ac:dyDescent="0.15">
      <c r="B645"/>
      <c r="C645"/>
      <c r="D645"/>
      <c r="E645"/>
      <c r="F645" s="7"/>
      <c r="G645" s="7"/>
      <c r="H645" s="7"/>
      <c r="I645" s="7"/>
      <c r="J645" s="7"/>
    </row>
    <row r="646" spans="2:10" x14ac:dyDescent="0.15">
      <c r="B646"/>
      <c r="C646"/>
      <c r="D646"/>
      <c r="E646"/>
      <c r="F646" s="7"/>
      <c r="G646" s="7"/>
      <c r="H646" s="7"/>
      <c r="I646" s="7"/>
      <c r="J646" s="7"/>
    </row>
    <row r="647" spans="2:10" x14ac:dyDescent="0.15">
      <c r="B647"/>
      <c r="C647"/>
      <c r="D647"/>
      <c r="E647"/>
      <c r="F647" s="7"/>
      <c r="G647" s="7"/>
      <c r="H647" s="7"/>
      <c r="I647" s="7"/>
      <c r="J647" s="7"/>
    </row>
    <row r="648" spans="2:10" x14ac:dyDescent="0.15">
      <c r="B648"/>
      <c r="C648"/>
      <c r="D648"/>
      <c r="E648"/>
      <c r="F648" s="7"/>
      <c r="G648" s="7"/>
      <c r="H648" s="7"/>
      <c r="I648" s="7"/>
      <c r="J648" s="7"/>
    </row>
    <row r="649" spans="2:10" x14ac:dyDescent="0.15">
      <c r="B649"/>
      <c r="C649"/>
      <c r="D649"/>
      <c r="E649"/>
      <c r="F649" s="7"/>
      <c r="G649" s="7"/>
      <c r="H649" s="7"/>
      <c r="I649" s="7"/>
      <c r="J649" s="7"/>
    </row>
    <row r="650" spans="2:10" x14ac:dyDescent="0.15">
      <c r="B650"/>
      <c r="C650"/>
      <c r="D650"/>
      <c r="E650"/>
      <c r="F650" s="7"/>
      <c r="G650" s="7"/>
      <c r="H650" s="7"/>
      <c r="I650" s="7"/>
      <c r="J650" s="7"/>
    </row>
    <row r="651" spans="2:10" x14ac:dyDescent="0.15">
      <c r="B651"/>
      <c r="C651"/>
      <c r="D651"/>
      <c r="E651"/>
      <c r="F651" s="7"/>
      <c r="G651" s="7"/>
      <c r="H651" s="7"/>
      <c r="I651" s="7"/>
      <c r="J651" s="7"/>
    </row>
    <row r="652" spans="2:10" x14ac:dyDescent="0.15">
      <c r="B652"/>
      <c r="C652"/>
      <c r="D652"/>
      <c r="E652"/>
      <c r="F652" s="7"/>
      <c r="G652" s="7"/>
      <c r="H652" s="7"/>
      <c r="I652" s="7"/>
      <c r="J652" s="7"/>
    </row>
    <row r="653" spans="2:10" x14ac:dyDescent="0.15">
      <c r="B653"/>
      <c r="C653"/>
      <c r="D653"/>
      <c r="E653"/>
      <c r="F653" s="7"/>
      <c r="G653" s="7"/>
      <c r="H653" s="7"/>
      <c r="I653" s="7"/>
      <c r="J653" s="7"/>
    </row>
    <row r="654" spans="2:10" x14ac:dyDescent="0.15">
      <c r="B654"/>
      <c r="C654"/>
      <c r="D654"/>
      <c r="E654"/>
      <c r="F654" s="7"/>
      <c r="G654" s="7"/>
      <c r="H654" s="7"/>
      <c r="I654" s="7"/>
      <c r="J654" s="7"/>
    </row>
    <row r="655" spans="2:10" x14ac:dyDescent="0.15">
      <c r="B655"/>
      <c r="C655"/>
      <c r="D655"/>
      <c r="E655"/>
      <c r="F655" s="7"/>
      <c r="G655" s="7"/>
      <c r="H655" s="7"/>
      <c r="I655" s="7"/>
      <c r="J655" s="7"/>
    </row>
    <row r="656" spans="2:10" x14ac:dyDescent="0.15">
      <c r="B656"/>
      <c r="C656"/>
      <c r="D656"/>
      <c r="E656"/>
      <c r="F656" s="7"/>
      <c r="G656" s="7"/>
      <c r="H656" s="7"/>
      <c r="I656" s="7"/>
      <c r="J656" s="7"/>
    </row>
    <row r="657" spans="2:10" x14ac:dyDescent="0.15">
      <c r="B657"/>
      <c r="C657"/>
      <c r="D657"/>
      <c r="E657"/>
      <c r="F657" s="7"/>
      <c r="G657" s="7"/>
      <c r="H657" s="7"/>
      <c r="I657" s="7"/>
      <c r="J657" s="7"/>
    </row>
    <row r="658" spans="2:10" x14ac:dyDescent="0.15">
      <c r="B658"/>
      <c r="C658"/>
      <c r="D658"/>
      <c r="E658"/>
      <c r="F658" s="7"/>
      <c r="G658" s="7"/>
      <c r="H658" s="7"/>
      <c r="I658" s="7"/>
      <c r="J658" s="7"/>
    </row>
    <row r="659" spans="2:10" x14ac:dyDescent="0.15">
      <c r="B659"/>
      <c r="C659"/>
      <c r="D659"/>
      <c r="E659"/>
      <c r="F659" s="7"/>
      <c r="G659" s="7"/>
      <c r="H659" s="7"/>
      <c r="I659" s="7"/>
      <c r="J659" s="7"/>
    </row>
    <row r="660" spans="2:10" x14ac:dyDescent="0.15">
      <c r="B660"/>
      <c r="C660"/>
      <c r="D660"/>
      <c r="E660"/>
      <c r="F660" s="7"/>
      <c r="G660" s="7"/>
      <c r="H660" s="7"/>
      <c r="I660" s="7"/>
      <c r="J660" s="7"/>
    </row>
    <row r="661" spans="2:10" x14ac:dyDescent="0.15">
      <c r="B661"/>
      <c r="C661"/>
      <c r="D661"/>
      <c r="E661"/>
      <c r="F661" s="7"/>
      <c r="G661" s="7"/>
      <c r="H661" s="7"/>
      <c r="I661" s="7"/>
      <c r="J661" s="7"/>
    </row>
    <row r="662" spans="2:10" x14ac:dyDescent="0.15">
      <c r="B662"/>
      <c r="C662"/>
      <c r="D662"/>
      <c r="E662"/>
      <c r="F662" s="7"/>
      <c r="G662" s="7"/>
      <c r="H662" s="7"/>
      <c r="I662" s="7"/>
      <c r="J662" s="7"/>
    </row>
    <row r="663" spans="2:10" x14ac:dyDescent="0.15">
      <c r="B663"/>
      <c r="C663"/>
      <c r="D663"/>
      <c r="E663"/>
      <c r="F663" s="7"/>
      <c r="G663" s="7"/>
      <c r="H663" s="7"/>
      <c r="I663" s="7"/>
      <c r="J663" s="7"/>
    </row>
    <row r="664" spans="2:10" x14ac:dyDescent="0.15">
      <c r="B664"/>
      <c r="C664"/>
      <c r="D664"/>
      <c r="E664"/>
      <c r="F664" s="7"/>
      <c r="G664" s="7"/>
      <c r="H664" s="7"/>
      <c r="I664" s="7"/>
      <c r="J664" s="7"/>
    </row>
    <row r="665" spans="2:10" x14ac:dyDescent="0.15">
      <c r="B665"/>
      <c r="C665"/>
      <c r="D665"/>
      <c r="E665"/>
      <c r="F665" s="7"/>
      <c r="G665" s="7"/>
      <c r="H665" s="7"/>
      <c r="I665" s="7"/>
      <c r="J665" s="7"/>
    </row>
    <row r="666" spans="2:10" x14ac:dyDescent="0.15">
      <c r="B666"/>
      <c r="C666"/>
      <c r="D666"/>
      <c r="E666"/>
      <c r="F666" s="7"/>
      <c r="G666" s="7"/>
      <c r="H666" s="7"/>
      <c r="I666" s="7"/>
      <c r="J666" s="7"/>
    </row>
    <row r="667" spans="2:10" x14ac:dyDescent="0.15">
      <c r="B667"/>
      <c r="C667"/>
      <c r="D667"/>
      <c r="E667"/>
      <c r="F667" s="7"/>
      <c r="G667" s="7"/>
      <c r="H667" s="7"/>
      <c r="I667" s="7"/>
      <c r="J667" s="7"/>
    </row>
    <row r="668" spans="2:10" x14ac:dyDescent="0.15">
      <c r="B668"/>
      <c r="C668"/>
      <c r="D668"/>
      <c r="E668"/>
      <c r="F668" s="7"/>
      <c r="G668" s="7"/>
      <c r="H668" s="7"/>
      <c r="I668" s="7"/>
      <c r="J668" s="7"/>
    </row>
    <row r="669" spans="2:10" x14ac:dyDescent="0.15">
      <c r="B669"/>
      <c r="C669"/>
      <c r="D669"/>
      <c r="E669"/>
      <c r="F669" s="7"/>
      <c r="G669" s="7"/>
      <c r="H669" s="7"/>
      <c r="I669" s="7"/>
      <c r="J669" s="7"/>
    </row>
    <row r="670" spans="2:10" x14ac:dyDescent="0.15">
      <c r="B670"/>
      <c r="C670"/>
      <c r="D670"/>
      <c r="E670"/>
      <c r="F670" s="7"/>
      <c r="G670" s="7"/>
      <c r="H670" s="7"/>
      <c r="I670" s="7"/>
      <c r="J670" s="7"/>
    </row>
    <row r="671" spans="2:10" x14ac:dyDescent="0.15">
      <c r="B671"/>
      <c r="C671"/>
      <c r="D671"/>
      <c r="E671"/>
      <c r="F671" s="7"/>
      <c r="G671" s="7"/>
      <c r="H671" s="7"/>
      <c r="I671" s="7"/>
      <c r="J671" s="7"/>
    </row>
    <row r="672" spans="2:10" x14ac:dyDescent="0.15">
      <c r="B672"/>
      <c r="C672"/>
      <c r="D672"/>
      <c r="E672"/>
      <c r="F672" s="7"/>
      <c r="G672" s="7"/>
      <c r="H672" s="7"/>
      <c r="I672" s="7"/>
      <c r="J672" s="7"/>
    </row>
    <row r="673" spans="2:10" x14ac:dyDescent="0.15">
      <c r="B673"/>
      <c r="C673"/>
      <c r="D673"/>
      <c r="E673"/>
      <c r="F673" s="7"/>
      <c r="G673" s="7"/>
      <c r="H673" s="7"/>
      <c r="I673" s="7"/>
      <c r="J673" s="7"/>
    </row>
    <row r="674" spans="2:10" x14ac:dyDescent="0.15">
      <c r="B674"/>
      <c r="C674"/>
      <c r="D674"/>
      <c r="E674"/>
      <c r="F674" s="7"/>
      <c r="G674" s="7"/>
      <c r="H674" s="7"/>
      <c r="I674" s="7"/>
      <c r="J674" s="7"/>
    </row>
    <row r="675" spans="2:10" x14ac:dyDescent="0.15">
      <c r="B675"/>
      <c r="C675"/>
      <c r="D675"/>
      <c r="E675"/>
      <c r="F675" s="7"/>
      <c r="G675" s="7"/>
      <c r="H675" s="7"/>
      <c r="I675" s="7"/>
      <c r="J675" s="7"/>
    </row>
    <row r="676" spans="2:10" x14ac:dyDescent="0.15">
      <c r="B676"/>
      <c r="C676"/>
      <c r="D676"/>
      <c r="E676"/>
      <c r="F676" s="7"/>
      <c r="G676" s="7"/>
      <c r="H676" s="7"/>
      <c r="I676" s="7"/>
      <c r="J676" s="7"/>
    </row>
    <row r="677" spans="2:10" x14ac:dyDescent="0.15">
      <c r="B677"/>
      <c r="C677"/>
      <c r="D677"/>
      <c r="E677"/>
      <c r="F677" s="7"/>
      <c r="G677" s="7"/>
      <c r="H677" s="7"/>
      <c r="I677" s="7"/>
      <c r="J677" s="7"/>
    </row>
    <row r="678" spans="2:10" x14ac:dyDescent="0.15">
      <c r="B678"/>
      <c r="C678"/>
      <c r="D678"/>
      <c r="E678"/>
      <c r="F678" s="7"/>
      <c r="G678" s="7"/>
      <c r="H678" s="7"/>
      <c r="I678" s="7"/>
      <c r="J678" s="7"/>
    </row>
    <row r="679" spans="2:10" x14ac:dyDescent="0.15">
      <c r="B679"/>
      <c r="C679"/>
      <c r="D679"/>
      <c r="E679"/>
      <c r="F679" s="7"/>
      <c r="G679" s="7"/>
      <c r="H679" s="7"/>
      <c r="I679" s="7"/>
      <c r="J679" s="7"/>
    </row>
    <row r="680" spans="2:10" x14ac:dyDescent="0.15">
      <c r="B680"/>
      <c r="C680"/>
      <c r="D680"/>
      <c r="E680"/>
      <c r="F680" s="7"/>
      <c r="G680" s="7"/>
      <c r="H680" s="7"/>
      <c r="I680" s="7"/>
      <c r="J680" s="7"/>
    </row>
    <row r="681" spans="2:10" x14ac:dyDescent="0.15">
      <c r="B681"/>
      <c r="C681"/>
      <c r="D681"/>
      <c r="E681"/>
      <c r="F681" s="7"/>
      <c r="G681" s="7"/>
      <c r="H681" s="7"/>
      <c r="I681" s="7"/>
      <c r="J681" s="7"/>
    </row>
    <row r="682" spans="2:10" x14ac:dyDescent="0.15">
      <c r="B682"/>
      <c r="C682"/>
      <c r="D682"/>
      <c r="E682"/>
      <c r="F682" s="7"/>
      <c r="G682" s="7"/>
      <c r="H682" s="7"/>
      <c r="I682" s="7"/>
      <c r="J682" s="7"/>
    </row>
    <row r="683" spans="2:10" x14ac:dyDescent="0.15">
      <c r="B683"/>
      <c r="C683"/>
      <c r="D683"/>
      <c r="E683"/>
      <c r="F683" s="7"/>
      <c r="G683" s="7"/>
      <c r="H683" s="7"/>
      <c r="I683" s="7"/>
      <c r="J683" s="7"/>
    </row>
    <row r="684" spans="2:10" x14ac:dyDescent="0.15">
      <c r="B684"/>
      <c r="C684"/>
      <c r="D684"/>
      <c r="E684"/>
      <c r="F684" s="7"/>
      <c r="G684" s="7"/>
      <c r="H684" s="7"/>
      <c r="I684" s="7"/>
      <c r="J684" s="7"/>
    </row>
    <row r="685" spans="2:10" x14ac:dyDescent="0.15">
      <c r="B685"/>
      <c r="C685"/>
      <c r="D685"/>
      <c r="E685"/>
      <c r="F685" s="7"/>
      <c r="G685" s="7"/>
      <c r="H685" s="7"/>
      <c r="I685" s="7"/>
      <c r="J685" s="7"/>
    </row>
    <row r="686" spans="2:10" x14ac:dyDescent="0.15">
      <c r="B686"/>
      <c r="C686"/>
      <c r="D686"/>
      <c r="E686"/>
      <c r="F686" s="7"/>
      <c r="G686" s="7"/>
      <c r="H686" s="7"/>
      <c r="I686" s="7"/>
      <c r="J686" s="7"/>
    </row>
    <row r="687" spans="2:10" x14ac:dyDescent="0.15">
      <c r="B687"/>
      <c r="C687"/>
      <c r="D687"/>
      <c r="E687"/>
      <c r="F687" s="7"/>
      <c r="G687" s="7"/>
      <c r="H687" s="7"/>
      <c r="I687" s="7"/>
      <c r="J687" s="7"/>
    </row>
    <row r="688" spans="2:10" x14ac:dyDescent="0.15">
      <c r="B688"/>
      <c r="C688"/>
      <c r="D688"/>
      <c r="E688"/>
      <c r="F688" s="7"/>
      <c r="G688" s="7"/>
      <c r="H688" s="7"/>
      <c r="I688" s="7"/>
      <c r="J688" s="7"/>
    </row>
    <row r="689" spans="2:10" x14ac:dyDescent="0.15">
      <c r="B689"/>
      <c r="C689"/>
      <c r="D689"/>
      <c r="E689"/>
      <c r="F689" s="7"/>
      <c r="G689" s="7"/>
      <c r="H689" s="7"/>
      <c r="I689" s="7"/>
      <c r="J689" s="7"/>
    </row>
    <row r="690" spans="2:10" x14ac:dyDescent="0.15">
      <c r="B690"/>
      <c r="C690"/>
      <c r="D690"/>
      <c r="E690"/>
      <c r="F690" s="7"/>
      <c r="G690" s="7"/>
      <c r="H690" s="7"/>
      <c r="I690" s="7"/>
      <c r="J690" s="7"/>
    </row>
    <row r="691" spans="2:10" x14ac:dyDescent="0.15">
      <c r="B691"/>
      <c r="C691"/>
      <c r="D691"/>
      <c r="E691"/>
      <c r="F691" s="7"/>
      <c r="G691" s="7"/>
      <c r="H691" s="7"/>
      <c r="I691" s="7"/>
      <c r="J691" s="7"/>
    </row>
    <row r="692" spans="2:10" x14ac:dyDescent="0.15">
      <c r="B692"/>
      <c r="C692"/>
      <c r="D692"/>
      <c r="E692"/>
      <c r="F692" s="7"/>
      <c r="G692" s="7"/>
      <c r="H692" s="7"/>
      <c r="I692" s="7"/>
      <c r="J692" s="7"/>
    </row>
    <row r="693" spans="2:10" x14ac:dyDescent="0.15">
      <c r="B693"/>
      <c r="C693"/>
      <c r="D693"/>
      <c r="E693"/>
      <c r="F693" s="7"/>
      <c r="G693" s="7"/>
      <c r="H693" s="7"/>
      <c r="I693" s="7"/>
      <c r="J693" s="7"/>
    </row>
    <row r="694" spans="2:10" x14ac:dyDescent="0.15">
      <c r="B694"/>
      <c r="C694"/>
      <c r="D694"/>
      <c r="E694"/>
      <c r="F694" s="7"/>
      <c r="G694" s="7"/>
      <c r="H694" s="7"/>
      <c r="I694" s="7"/>
      <c r="J694" s="7"/>
    </row>
    <row r="695" spans="2:10" x14ac:dyDescent="0.15">
      <c r="B695"/>
      <c r="C695"/>
      <c r="D695"/>
      <c r="E695"/>
      <c r="F695" s="7"/>
      <c r="G695" s="7"/>
      <c r="H695" s="7"/>
      <c r="I695" s="7"/>
      <c r="J695" s="7"/>
    </row>
    <row r="696" spans="2:10" x14ac:dyDescent="0.15">
      <c r="B696"/>
      <c r="C696"/>
      <c r="D696"/>
      <c r="E696"/>
      <c r="F696" s="7"/>
      <c r="G696" s="7"/>
      <c r="H696" s="7"/>
      <c r="I696" s="7"/>
      <c r="J696" s="7"/>
    </row>
    <row r="697" spans="2:10" x14ac:dyDescent="0.15">
      <c r="B697"/>
      <c r="C697"/>
      <c r="D697"/>
      <c r="E697"/>
      <c r="F697" s="7"/>
      <c r="G697" s="7"/>
      <c r="H697" s="7"/>
      <c r="I697" s="7"/>
      <c r="J697" s="7"/>
    </row>
    <row r="698" spans="2:10" x14ac:dyDescent="0.15">
      <c r="B698"/>
      <c r="C698"/>
      <c r="D698"/>
      <c r="E698"/>
      <c r="F698" s="7"/>
      <c r="G698" s="7"/>
      <c r="H698" s="7"/>
      <c r="I698" s="7"/>
      <c r="J698" s="7"/>
    </row>
    <row r="699" spans="2:10" x14ac:dyDescent="0.15">
      <c r="B699"/>
      <c r="C699"/>
      <c r="D699"/>
      <c r="E699"/>
      <c r="F699" s="7"/>
      <c r="G699" s="7"/>
      <c r="H699" s="7"/>
      <c r="I699" s="7"/>
      <c r="J699" s="7"/>
    </row>
    <row r="700" spans="2:10" x14ac:dyDescent="0.15">
      <c r="B700"/>
      <c r="C700"/>
      <c r="D700"/>
      <c r="E700"/>
      <c r="F700" s="7"/>
      <c r="G700" s="7"/>
      <c r="H700" s="7"/>
      <c r="I700" s="7"/>
      <c r="J700" s="7"/>
    </row>
    <row r="701" spans="2:10" x14ac:dyDescent="0.15">
      <c r="B701"/>
      <c r="C701"/>
      <c r="D701"/>
      <c r="E701"/>
      <c r="F701" s="7"/>
      <c r="G701" s="7"/>
      <c r="H701" s="7"/>
      <c r="I701" s="7"/>
      <c r="J701" s="7"/>
    </row>
    <row r="702" spans="2:10" x14ac:dyDescent="0.15">
      <c r="B702"/>
      <c r="C702"/>
      <c r="D702"/>
      <c r="E702"/>
      <c r="F702" s="7"/>
      <c r="G702" s="7"/>
      <c r="H702" s="7"/>
      <c r="I702" s="7"/>
      <c r="J702" s="7"/>
    </row>
    <row r="703" spans="2:10" x14ac:dyDescent="0.15">
      <c r="B703"/>
      <c r="C703"/>
      <c r="D703"/>
      <c r="E703"/>
      <c r="F703" s="7"/>
      <c r="G703" s="7"/>
      <c r="H703" s="7"/>
      <c r="I703" s="7"/>
      <c r="J703" s="7"/>
    </row>
    <row r="704" spans="2:10" x14ac:dyDescent="0.15">
      <c r="B704"/>
      <c r="C704"/>
      <c r="D704"/>
      <c r="E704"/>
      <c r="F704" s="7"/>
      <c r="G704" s="7"/>
      <c r="H704" s="7"/>
      <c r="I704" s="7"/>
      <c r="J704" s="7"/>
    </row>
    <row r="705" spans="2:10" x14ac:dyDescent="0.15">
      <c r="B705"/>
      <c r="C705"/>
      <c r="D705"/>
      <c r="E705"/>
      <c r="F705" s="7"/>
      <c r="G705" s="7"/>
      <c r="H705" s="7"/>
      <c r="I705" s="7"/>
      <c r="J705" s="7"/>
    </row>
    <row r="706" spans="2:10" x14ac:dyDescent="0.15">
      <c r="B706"/>
      <c r="C706"/>
      <c r="D706"/>
      <c r="E706"/>
      <c r="F706" s="7"/>
      <c r="G706" s="7"/>
      <c r="H706" s="7"/>
      <c r="I706" s="7"/>
      <c r="J706" s="7"/>
    </row>
    <row r="707" spans="2:10" x14ac:dyDescent="0.15">
      <c r="B707"/>
      <c r="C707"/>
      <c r="D707"/>
      <c r="E707"/>
      <c r="F707" s="7"/>
      <c r="G707" s="7"/>
      <c r="H707" s="7"/>
      <c r="I707" s="7"/>
      <c r="J707" s="7"/>
    </row>
    <row r="708" spans="2:10" x14ac:dyDescent="0.15">
      <c r="B708"/>
      <c r="C708"/>
      <c r="D708"/>
      <c r="E708"/>
      <c r="F708" s="7"/>
      <c r="G708" s="7"/>
      <c r="H708" s="7"/>
      <c r="I708" s="7"/>
      <c r="J708" s="7"/>
    </row>
    <row r="709" spans="2:10" x14ac:dyDescent="0.15">
      <c r="B709"/>
      <c r="C709"/>
      <c r="D709"/>
      <c r="E709"/>
      <c r="F709" s="7"/>
      <c r="G709" s="7"/>
      <c r="H709" s="7"/>
      <c r="I709" s="7"/>
      <c r="J709" s="7"/>
    </row>
    <row r="710" spans="2:10" x14ac:dyDescent="0.15">
      <c r="B710"/>
      <c r="C710"/>
      <c r="D710"/>
      <c r="E710"/>
      <c r="F710" s="7"/>
      <c r="G710" s="7"/>
      <c r="H710" s="7"/>
      <c r="I710" s="7"/>
      <c r="J710" s="7"/>
    </row>
    <row r="711" spans="2:10" x14ac:dyDescent="0.15">
      <c r="B711"/>
      <c r="C711"/>
      <c r="D711"/>
      <c r="E711"/>
      <c r="F711" s="7"/>
      <c r="G711" s="7"/>
      <c r="H711" s="7"/>
      <c r="I711" s="7"/>
      <c r="J711" s="7"/>
    </row>
    <row r="712" spans="2:10" x14ac:dyDescent="0.15">
      <c r="B712"/>
      <c r="C712"/>
      <c r="D712"/>
      <c r="E712"/>
      <c r="F712" s="7"/>
      <c r="G712" s="7"/>
      <c r="H712" s="7"/>
      <c r="I712" s="7"/>
      <c r="J712" s="7"/>
    </row>
    <row r="713" spans="2:10" x14ac:dyDescent="0.15">
      <c r="B713"/>
      <c r="C713"/>
      <c r="D713"/>
      <c r="E713"/>
      <c r="F713" s="7"/>
      <c r="G713" s="7"/>
      <c r="H713" s="7"/>
      <c r="I713" s="7"/>
      <c r="J713" s="7"/>
    </row>
    <row r="714" spans="2:10" x14ac:dyDescent="0.15">
      <c r="B714"/>
      <c r="C714"/>
      <c r="D714"/>
      <c r="E714"/>
      <c r="F714" s="7"/>
      <c r="G714" s="7"/>
      <c r="H714" s="7"/>
      <c r="I714" s="7"/>
      <c r="J714" s="7"/>
    </row>
    <row r="715" spans="2:10" x14ac:dyDescent="0.15">
      <c r="B715"/>
      <c r="C715"/>
      <c r="D715"/>
      <c r="E715"/>
      <c r="F715" s="7"/>
      <c r="G715" s="7"/>
      <c r="H715" s="7"/>
      <c r="I715" s="7"/>
      <c r="J715" s="7"/>
    </row>
    <row r="716" spans="2:10" x14ac:dyDescent="0.15">
      <c r="B716"/>
      <c r="C716"/>
      <c r="D716"/>
      <c r="E716"/>
      <c r="F716" s="7"/>
      <c r="G716" s="7"/>
      <c r="H716" s="7"/>
      <c r="I716" s="7"/>
      <c r="J716" s="7"/>
    </row>
    <row r="717" spans="2:10" x14ac:dyDescent="0.15">
      <c r="B717"/>
      <c r="C717"/>
      <c r="D717"/>
      <c r="E717"/>
      <c r="F717" s="7"/>
      <c r="G717" s="7"/>
      <c r="H717" s="7"/>
      <c r="I717" s="7"/>
      <c r="J717" s="7"/>
    </row>
    <row r="718" spans="2:10" x14ac:dyDescent="0.15">
      <c r="B718"/>
      <c r="C718"/>
      <c r="D718"/>
      <c r="E718"/>
      <c r="F718" s="7"/>
      <c r="G718" s="7"/>
      <c r="H718" s="7"/>
      <c r="I718" s="7"/>
      <c r="J718" s="7"/>
    </row>
    <row r="719" spans="2:10" x14ac:dyDescent="0.15">
      <c r="B719"/>
      <c r="C719"/>
      <c r="D719"/>
      <c r="E719"/>
      <c r="F719" s="7"/>
      <c r="G719" s="7"/>
      <c r="H719" s="7"/>
      <c r="I719" s="7"/>
      <c r="J719" s="7"/>
    </row>
    <row r="720" spans="2:10" x14ac:dyDescent="0.15">
      <c r="B720"/>
      <c r="C720"/>
      <c r="D720"/>
      <c r="E720"/>
      <c r="F720" s="7"/>
      <c r="G720" s="7"/>
      <c r="H720" s="7"/>
      <c r="I720" s="7"/>
      <c r="J720" s="7"/>
    </row>
    <row r="721" spans="2:10" x14ac:dyDescent="0.15">
      <c r="B721"/>
      <c r="C721"/>
      <c r="D721"/>
      <c r="E721"/>
      <c r="F721" s="7"/>
      <c r="G721" s="7"/>
      <c r="H721" s="7"/>
      <c r="I721" s="7"/>
      <c r="J721" s="7"/>
    </row>
    <row r="722" spans="2:10" x14ac:dyDescent="0.15">
      <c r="B722"/>
      <c r="C722"/>
      <c r="D722"/>
      <c r="E722"/>
      <c r="F722" s="7"/>
      <c r="G722" s="7"/>
      <c r="H722" s="7"/>
      <c r="I722" s="7"/>
      <c r="J722" s="7"/>
    </row>
  </sheetData>
  <mergeCells count="2">
    <mergeCell ref="C1:C2"/>
    <mergeCell ref="F1:J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2"/>
  <sheetViews>
    <sheetView topLeftCell="A31" workbookViewId="0">
      <selection activeCell="A52" sqref="A52:XFD52"/>
    </sheetView>
  </sheetViews>
  <sheetFormatPr defaultRowHeight="13.5" x14ac:dyDescent="0.15"/>
  <cols>
    <col min="2" max="5" width="12.625" style="2" customWidth="1"/>
    <col min="6" max="10" width="9.625" style="4" customWidth="1"/>
  </cols>
  <sheetData>
    <row r="1" spans="2:12" ht="13.5" customHeight="1" x14ac:dyDescent="0.15">
      <c r="B1" s="11" t="s">
        <v>7</v>
      </c>
      <c r="C1" s="14" t="s">
        <v>10</v>
      </c>
      <c r="D1" s="11" t="s">
        <v>11</v>
      </c>
      <c r="E1" s="11" t="s">
        <v>1</v>
      </c>
      <c r="F1" s="16" t="s">
        <v>20</v>
      </c>
      <c r="G1" s="17"/>
      <c r="H1" s="17"/>
      <c r="I1" s="17"/>
      <c r="J1" s="18"/>
    </row>
    <row r="2" spans="2:12" x14ac:dyDescent="0.15">
      <c r="B2" s="12" t="s">
        <v>9</v>
      </c>
      <c r="C2" s="15"/>
      <c r="D2" s="12" t="s">
        <v>12</v>
      </c>
      <c r="E2" s="12" t="s">
        <v>15</v>
      </c>
      <c r="F2" s="4" t="s">
        <v>8</v>
      </c>
      <c r="G2" s="4" t="s">
        <v>3</v>
      </c>
      <c r="H2" s="4" t="s">
        <v>4</v>
      </c>
      <c r="I2" s="4" t="s">
        <v>5</v>
      </c>
      <c r="J2" s="4" t="s">
        <v>6</v>
      </c>
    </row>
    <row r="3" spans="2:12" x14ac:dyDescent="0.15">
      <c r="B3" s="2">
        <v>1</v>
      </c>
      <c r="C3" s="2">
        <f>B3+1</f>
        <v>2</v>
      </c>
      <c r="D3" s="3">
        <f>0.97*C3^0.5</f>
        <v>1.3717871555019023</v>
      </c>
      <c r="E3" s="3">
        <f>4*3^0.5*D3/3</f>
        <v>3.1680067339995772</v>
      </c>
      <c r="F3" s="5">
        <f>(8+16*B3)/E3^3</f>
        <v>0.75483660649298134</v>
      </c>
      <c r="G3" s="5">
        <f>F3*2</f>
        <v>1.5096732129859627</v>
      </c>
      <c r="H3" s="5">
        <f>F3*3</f>
        <v>2.2645098194789441</v>
      </c>
      <c r="I3" s="5">
        <f>F3*4</f>
        <v>3.0193464259719254</v>
      </c>
      <c r="J3" s="5">
        <f>F3*5</f>
        <v>3.7741830324649066</v>
      </c>
      <c r="L3" t="s">
        <v>12</v>
      </c>
    </row>
    <row r="4" spans="2:12" x14ac:dyDescent="0.15">
      <c r="B4" s="2">
        <v>2</v>
      </c>
      <c r="C4" s="2">
        <f t="shared" ref="C4:C67" si="0">B4+1</f>
        <v>3</v>
      </c>
      <c r="D4" s="3">
        <f t="shared" ref="D4:D67" si="1">0.97*C4^0.5</f>
        <v>1.6800892833418108</v>
      </c>
      <c r="E4" s="3">
        <f t="shared" ref="E4:E67" si="2">4*3^0.5*D4/3</f>
        <v>3.8799999999999994</v>
      </c>
      <c r="F4" s="5">
        <f t="shared" ref="F4:F67" si="3">(8+16*B4)/E4^3</f>
        <v>0.68480167595622998</v>
      </c>
      <c r="G4" s="5">
        <f t="shared" ref="G4:G67" si="4">F4*2</f>
        <v>1.36960335191246</v>
      </c>
      <c r="H4" s="5">
        <f t="shared" ref="H4:H67" si="5">F4*3</f>
        <v>2.0544050278686901</v>
      </c>
      <c r="I4" s="5">
        <f t="shared" ref="I4:I67" si="6">F4*4</f>
        <v>2.7392067038249199</v>
      </c>
      <c r="J4" s="5">
        <f t="shared" ref="J4:J67" si="7">F4*5</f>
        <v>3.4240083797811498</v>
      </c>
      <c r="L4" t="s">
        <v>13</v>
      </c>
    </row>
    <row r="5" spans="2:12" x14ac:dyDescent="0.15">
      <c r="B5" s="2">
        <v>3</v>
      </c>
      <c r="C5" s="2">
        <f t="shared" si="0"/>
        <v>4</v>
      </c>
      <c r="D5" s="3">
        <f t="shared" si="1"/>
        <v>1.94</v>
      </c>
      <c r="E5" s="3">
        <f t="shared" si="2"/>
        <v>4.4802380889114959</v>
      </c>
      <c r="F5" s="5">
        <f t="shared" si="3"/>
        <v>0.6227084303288668</v>
      </c>
      <c r="G5" s="5">
        <f t="shared" si="4"/>
        <v>1.2454168606577336</v>
      </c>
      <c r="H5" s="5">
        <f t="shared" si="5"/>
        <v>1.8681252909866004</v>
      </c>
      <c r="I5" s="5">
        <f t="shared" si="6"/>
        <v>2.4908337213154672</v>
      </c>
      <c r="J5" s="5">
        <f t="shared" si="7"/>
        <v>3.1135421516443342</v>
      </c>
      <c r="L5" t="s">
        <v>37</v>
      </c>
    </row>
    <row r="6" spans="2:12" x14ac:dyDescent="0.15">
      <c r="B6" s="2">
        <v>4</v>
      </c>
      <c r="C6" s="2">
        <f t="shared" si="0"/>
        <v>5</v>
      </c>
      <c r="D6" s="3">
        <f t="shared" si="1"/>
        <v>2.1689859381747962</v>
      </c>
      <c r="E6" s="3">
        <f t="shared" si="2"/>
        <v>5.0090584610949263</v>
      </c>
      <c r="F6" s="5">
        <f t="shared" si="3"/>
        <v>0.57288070506961541</v>
      </c>
      <c r="G6" s="5">
        <f t="shared" si="4"/>
        <v>1.1457614101392308</v>
      </c>
      <c r="H6" s="5">
        <f t="shared" si="5"/>
        <v>1.7186421152088462</v>
      </c>
      <c r="I6" s="5">
        <f t="shared" si="6"/>
        <v>2.2915228202784617</v>
      </c>
      <c r="J6" s="5">
        <f t="shared" si="7"/>
        <v>2.8644035253480773</v>
      </c>
    </row>
    <row r="7" spans="2:12" x14ac:dyDescent="0.15">
      <c r="B7" s="2">
        <v>5</v>
      </c>
      <c r="C7" s="2">
        <f t="shared" si="0"/>
        <v>6</v>
      </c>
      <c r="D7" s="3">
        <f t="shared" si="1"/>
        <v>2.3760050504996824</v>
      </c>
      <c r="E7" s="3">
        <f t="shared" si="2"/>
        <v>5.4871486220076067</v>
      </c>
      <c r="F7" s="5">
        <f t="shared" si="3"/>
        <v>0.53265069972021961</v>
      </c>
      <c r="G7" s="5">
        <f t="shared" si="4"/>
        <v>1.0653013994404392</v>
      </c>
      <c r="H7" s="5">
        <f t="shared" si="5"/>
        <v>1.5979520991606588</v>
      </c>
      <c r="I7" s="5">
        <f t="shared" si="6"/>
        <v>2.1306027988808784</v>
      </c>
      <c r="J7" s="5">
        <f t="shared" si="7"/>
        <v>2.6632534986010983</v>
      </c>
      <c r="L7" t="s">
        <v>15</v>
      </c>
    </row>
    <row r="8" spans="2:12" x14ac:dyDescent="0.15">
      <c r="B8" s="2">
        <v>6</v>
      </c>
      <c r="C8" s="2">
        <f t="shared" si="0"/>
        <v>7</v>
      </c>
      <c r="D8" s="3">
        <f t="shared" si="1"/>
        <v>2.5663787717326527</v>
      </c>
      <c r="E8" s="3">
        <f t="shared" si="2"/>
        <v>5.9267978988095527</v>
      </c>
      <c r="F8" s="5">
        <f t="shared" si="3"/>
        <v>0.49954312297134579</v>
      </c>
      <c r="G8" s="5">
        <f t="shared" si="4"/>
        <v>0.99908624594269158</v>
      </c>
      <c r="H8" s="5">
        <f t="shared" si="5"/>
        <v>1.4986293689140373</v>
      </c>
      <c r="I8" s="5">
        <f t="shared" si="6"/>
        <v>1.9981724918853832</v>
      </c>
      <c r="J8" s="5">
        <f t="shared" si="7"/>
        <v>2.497715614856729</v>
      </c>
      <c r="L8" t="s">
        <v>30</v>
      </c>
    </row>
    <row r="9" spans="2:12" x14ac:dyDescent="0.15">
      <c r="B9" s="2">
        <v>7</v>
      </c>
      <c r="C9" s="2">
        <f t="shared" si="0"/>
        <v>8</v>
      </c>
      <c r="D9" s="3">
        <f t="shared" si="1"/>
        <v>2.7435743110038047</v>
      </c>
      <c r="E9" s="3">
        <f t="shared" si="2"/>
        <v>6.3360134679991544</v>
      </c>
      <c r="F9" s="5">
        <f t="shared" si="3"/>
        <v>0.47177287905811333</v>
      </c>
      <c r="G9" s="10">
        <f t="shared" si="4"/>
        <v>0.94354575811622665</v>
      </c>
      <c r="H9" s="5">
        <f t="shared" si="5"/>
        <v>1.41531863717434</v>
      </c>
      <c r="I9" s="5">
        <f t="shared" si="6"/>
        <v>1.8870915162324533</v>
      </c>
      <c r="J9" s="5">
        <f t="shared" si="7"/>
        <v>2.3588643952905666</v>
      </c>
      <c r="L9" t="s">
        <v>21</v>
      </c>
    </row>
    <row r="10" spans="2:12" x14ac:dyDescent="0.15">
      <c r="B10" s="2">
        <v>8</v>
      </c>
      <c r="C10" s="2">
        <f t="shared" si="0"/>
        <v>9</v>
      </c>
      <c r="D10" s="3">
        <f t="shared" si="1"/>
        <v>2.91</v>
      </c>
      <c r="E10" s="3">
        <f t="shared" si="2"/>
        <v>6.7203571333672443</v>
      </c>
      <c r="F10" s="5">
        <f t="shared" si="3"/>
        <v>0.44808648954881414</v>
      </c>
      <c r="G10" s="5">
        <f t="shared" si="4"/>
        <v>0.89617297909762828</v>
      </c>
      <c r="H10" s="5">
        <f t="shared" si="5"/>
        <v>1.3442594686464424</v>
      </c>
      <c r="I10" s="5">
        <f t="shared" si="6"/>
        <v>1.7923459581952566</v>
      </c>
      <c r="J10" s="5">
        <f t="shared" si="7"/>
        <v>2.2404324477440705</v>
      </c>
      <c r="L10" t="s">
        <v>17</v>
      </c>
    </row>
    <row r="11" spans="2:12" x14ac:dyDescent="0.15">
      <c r="B11" s="2">
        <v>9</v>
      </c>
      <c r="C11" s="2">
        <f t="shared" si="0"/>
        <v>10</v>
      </c>
      <c r="D11" s="3">
        <f t="shared" si="1"/>
        <v>3.0674093303633279</v>
      </c>
      <c r="E11" s="3">
        <f t="shared" si="2"/>
        <v>7.0838784104001471</v>
      </c>
      <c r="F11" s="5">
        <f t="shared" si="3"/>
        <v>0.42759271088597023</v>
      </c>
      <c r="G11" s="6">
        <f t="shared" si="4"/>
        <v>0.85518542177194046</v>
      </c>
      <c r="H11" s="5">
        <f t="shared" si="5"/>
        <v>1.2827781326579106</v>
      </c>
      <c r="I11" s="5">
        <f t="shared" si="6"/>
        <v>1.7103708435438809</v>
      </c>
      <c r="J11" s="5">
        <f t="shared" si="7"/>
        <v>2.137963554429851</v>
      </c>
      <c r="L11" t="s">
        <v>16</v>
      </c>
    </row>
    <row r="12" spans="2:12" x14ac:dyDescent="0.15">
      <c r="B12" s="2">
        <v>10</v>
      </c>
      <c r="C12" s="2">
        <f t="shared" si="0"/>
        <v>11</v>
      </c>
      <c r="D12" s="3">
        <f t="shared" si="1"/>
        <v>3.2171260466447378</v>
      </c>
      <c r="E12" s="3">
        <f t="shared" si="2"/>
        <v>7.4296343561891831</v>
      </c>
      <c r="F12" s="5">
        <f t="shared" si="3"/>
        <v>0.40964434060006977</v>
      </c>
      <c r="G12" s="5">
        <f t="shared" si="4"/>
        <v>0.81928868120013953</v>
      </c>
      <c r="H12" s="5">
        <f t="shared" si="5"/>
        <v>1.2289330218002092</v>
      </c>
      <c r="I12" s="5">
        <f t="shared" si="6"/>
        <v>1.6385773624002791</v>
      </c>
      <c r="J12" s="5">
        <f t="shared" si="7"/>
        <v>2.0482217030003489</v>
      </c>
      <c r="L12" t="s">
        <v>18</v>
      </c>
    </row>
    <row r="13" spans="2:12" x14ac:dyDescent="0.15">
      <c r="B13" s="2">
        <v>11</v>
      </c>
      <c r="C13" s="2">
        <f t="shared" si="0"/>
        <v>12</v>
      </c>
      <c r="D13" s="3">
        <f t="shared" si="1"/>
        <v>3.3601785666836217</v>
      </c>
      <c r="E13" s="3">
        <f t="shared" si="2"/>
        <v>7.7599999999999989</v>
      </c>
      <c r="F13" s="5">
        <f t="shared" si="3"/>
        <v>0.39376096367483221</v>
      </c>
      <c r="G13" s="5">
        <f t="shared" si="4"/>
        <v>0.78752192734966442</v>
      </c>
      <c r="H13" s="5">
        <f t="shared" si="5"/>
        <v>1.1812828910244966</v>
      </c>
      <c r="I13" s="5">
        <f t="shared" si="6"/>
        <v>1.5750438546993288</v>
      </c>
      <c r="J13" s="5">
        <f t="shared" si="7"/>
        <v>1.9688048183741611</v>
      </c>
      <c r="L13" t="s">
        <v>19</v>
      </c>
    </row>
    <row r="14" spans="2:12" x14ac:dyDescent="0.15">
      <c r="B14" s="2">
        <v>12</v>
      </c>
      <c r="C14" s="2">
        <f t="shared" si="0"/>
        <v>13</v>
      </c>
      <c r="D14" s="3">
        <f t="shared" si="1"/>
        <v>3.4973847372000693</v>
      </c>
      <c r="E14" s="3">
        <f t="shared" si="2"/>
        <v>8.0768640779285938</v>
      </c>
      <c r="F14" s="5">
        <f t="shared" si="3"/>
        <v>0.37957855878519453</v>
      </c>
      <c r="G14" s="5">
        <f t="shared" si="4"/>
        <v>0.75915711757038906</v>
      </c>
      <c r="H14" s="5">
        <f t="shared" si="5"/>
        <v>1.1387356763555836</v>
      </c>
      <c r="I14" s="5">
        <f t="shared" si="6"/>
        <v>1.5183142351407781</v>
      </c>
      <c r="J14" s="5">
        <f t="shared" si="7"/>
        <v>1.8978927939259727</v>
      </c>
    </row>
    <row r="15" spans="2:12" x14ac:dyDescent="0.15">
      <c r="B15" s="2">
        <v>13</v>
      </c>
      <c r="C15" s="2">
        <f t="shared" si="0"/>
        <v>14</v>
      </c>
      <c r="D15" s="3">
        <f t="shared" si="1"/>
        <v>3.629407665170723</v>
      </c>
      <c r="E15" s="3">
        <f t="shared" si="2"/>
        <v>8.381757969940832</v>
      </c>
      <c r="F15" s="5">
        <f t="shared" si="3"/>
        <v>0.36681611166153416</v>
      </c>
      <c r="G15" s="5">
        <f t="shared" si="4"/>
        <v>0.73363222332306832</v>
      </c>
      <c r="H15" s="5">
        <f t="shared" si="5"/>
        <v>1.1004483349846024</v>
      </c>
      <c r="I15" s="5">
        <f t="shared" si="6"/>
        <v>1.4672644466461366</v>
      </c>
      <c r="J15" s="5">
        <f t="shared" si="7"/>
        <v>1.8340805583076709</v>
      </c>
      <c r="L15" t="s">
        <v>22</v>
      </c>
    </row>
    <row r="16" spans="2:12" x14ac:dyDescent="0.15">
      <c r="B16" s="2">
        <v>14</v>
      </c>
      <c r="C16" s="2">
        <f t="shared" si="0"/>
        <v>15</v>
      </c>
      <c r="D16" s="3">
        <f t="shared" si="1"/>
        <v>3.7567938458211945</v>
      </c>
      <c r="E16" s="3">
        <f t="shared" si="2"/>
        <v>8.6759437526991832</v>
      </c>
      <c r="F16" s="5">
        <f t="shared" si="3"/>
        <v>0.35525303886218784</v>
      </c>
      <c r="G16" s="5">
        <f t="shared" si="4"/>
        <v>0.71050607772437568</v>
      </c>
      <c r="H16" s="5">
        <f t="shared" si="5"/>
        <v>1.0657591165865634</v>
      </c>
      <c r="I16" s="5">
        <f t="shared" si="6"/>
        <v>1.4210121554487514</v>
      </c>
      <c r="J16" s="5">
        <f t="shared" si="7"/>
        <v>1.7762651943109393</v>
      </c>
      <c r="L16" t="s">
        <v>23</v>
      </c>
    </row>
    <row r="17" spans="2:12" x14ac:dyDescent="0.15">
      <c r="B17" s="2">
        <v>15</v>
      </c>
      <c r="C17" s="2">
        <f t="shared" si="0"/>
        <v>16</v>
      </c>
      <c r="D17" s="3">
        <f t="shared" si="1"/>
        <v>3.88</v>
      </c>
      <c r="E17" s="3">
        <f t="shared" si="2"/>
        <v>8.9604761778229918</v>
      </c>
      <c r="F17" s="5">
        <f t="shared" si="3"/>
        <v>0.34471359536062268</v>
      </c>
      <c r="G17" s="5">
        <f t="shared" si="4"/>
        <v>0.68942719072124536</v>
      </c>
      <c r="H17" s="5">
        <f t="shared" si="5"/>
        <v>1.0341407860818681</v>
      </c>
      <c r="I17" s="5">
        <f t="shared" si="6"/>
        <v>1.3788543814424907</v>
      </c>
      <c r="J17" s="5">
        <f t="shared" si="7"/>
        <v>1.7235679768031134</v>
      </c>
      <c r="L17" t="s">
        <v>24</v>
      </c>
    </row>
    <row r="18" spans="2:12" x14ac:dyDescent="0.15">
      <c r="B18" s="2">
        <v>16</v>
      </c>
      <c r="C18" s="2">
        <f t="shared" si="0"/>
        <v>17</v>
      </c>
      <c r="D18" s="3">
        <f t="shared" si="1"/>
        <v>3.9994124568491305</v>
      </c>
      <c r="E18" s="3">
        <f t="shared" si="2"/>
        <v>9.2362474342487513</v>
      </c>
      <c r="F18" s="5">
        <f t="shared" si="3"/>
        <v>0.33505588477659054</v>
      </c>
      <c r="G18" s="5">
        <f t="shared" si="4"/>
        <v>0.67011176955318108</v>
      </c>
      <c r="H18" s="5">
        <f t="shared" si="5"/>
        <v>1.0051676543297716</v>
      </c>
      <c r="I18" s="5">
        <f t="shared" si="6"/>
        <v>1.3402235391063622</v>
      </c>
      <c r="J18" s="5">
        <f t="shared" si="7"/>
        <v>1.6752794238829527</v>
      </c>
      <c r="L18" t="s">
        <v>25</v>
      </c>
    </row>
    <row r="19" spans="2:12" x14ac:dyDescent="0.15">
      <c r="B19" s="2">
        <v>17</v>
      </c>
      <c r="C19" s="2">
        <f t="shared" si="0"/>
        <v>18</v>
      </c>
      <c r="D19" s="3">
        <f t="shared" si="1"/>
        <v>4.1153614665057061</v>
      </c>
      <c r="E19" s="3">
        <f t="shared" si="2"/>
        <v>9.5040202019987294</v>
      </c>
      <c r="F19" s="5">
        <f t="shared" si="3"/>
        <v>0.32616396576857243</v>
      </c>
      <c r="G19" s="5">
        <f t="shared" si="4"/>
        <v>0.65232793153714486</v>
      </c>
      <c r="H19" s="5">
        <f t="shared" si="5"/>
        <v>0.97849189730571728</v>
      </c>
      <c r="I19" s="5">
        <f t="shared" si="6"/>
        <v>1.3046558630742897</v>
      </c>
      <c r="J19" s="5">
        <f t="shared" si="7"/>
        <v>1.6308198288428621</v>
      </c>
      <c r="L19" t="s">
        <v>26</v>
      </c>
    </row>
    <row r="20" spans="2:12" x14ac:dyDescent="0.15">
      <c r="B20" s="2">
        <v>18</v>
      </c>
      <c r="C20" s="2">
        <f t="shared" si="0"/>
        <v>19</v>
      </c>
      <c r="D20" s="3">
        <f t="shared" si="1"/>
        <v>4.2281319752344535</v>
      </c>
      <c r="E20" s="3">
        <f t="shared" si="2"/>
        <v>9.7644525362835033</v>
      </c>
      <c r="F20" s="5">
        <f t="shared" si="3"/>
        <v>0.31794208280646341</v>
      </c>
      <c r="G20" s="5">
        <f t="shared" si="4"/>
        <v>0.63588416561292682</v>
      </c>
      <c r="H20" s="5">
        <f t="shared" si="5"/>
        <v>0.95382624841939023</v>
      </c>
      <c r="I20" s="5">
        <f t="shared" si="6"/>
        <v>1.2717683312258536</v>
      </c>
      <c r="J20" s="5">
        <f t="shared" si="7"/>
        <v>1.5897104140323171</v>
      </c>
      <c r="L20" t="s">
        <v>27</v>
      </c>
    </row>
    <row r="21" spans="2:12" x14ac:dyDescent="0.15">
      <c r="B21" s="2">
        <v>19</v>
      </c>
      <c r="C21" s="2">
        <f t="shared" si="0"/>
        <v>20</v>
      </c>
      <c r="D21" s="3">
        <f t="shared" si="1"/>
        <v>4.3379718763495925</v>
      </c>
      <c r="E21" s="3">
        <f t="shared" si="2"/>
        <v>10.018116922189853</v>
      </c>
      <c r="F21" s="5">
        <f t="shared" si="3"/>
        <v>0.31031038191270838</v>
      </c>
      <c r="G21" s="5">
        <f t="shared" si="4"/>
        <v>0.62062076382541675</v>
      </c>
      <c r="H21" s="13">
        <f t="shared" si="5"/>
        <v>0.93093114573812508</v>
      </c>
      <c r="I21" s="5">
        <f t="shared" si="6"/>
        <v>1.2412415276508335</v>
      </c>
      <c r="J21" s="5">
        <f t="shared" si="7"/>
        <v>1.5515519095635419</v>
      </c>
      <c r="L21" t="s">
        <v>28</v>
      </c>
    </row>
    <row r="22" spans="2:12" x14ac:dyDescent="0.15">
      <c r="B22" s="2">
        <v>20</v>
      </c>
      <c r="C22" s="2">
        <f t="shared" si="0"/>
        <v>21</v>
      </c>
      <c r="D22" s="3">
        <f t="shared" si="1"/>
        <v>4.4450984241071643</v>
      </c>
      <c r="E22" s="3">
        <f t="shared" si="2"/>
        <v>10.265515086930609</v>
      </c>
      <c r="F22" s="5">
        <f t="shared" si="3"/>
        <v>0.30320168249468338</v>
      </c>
      <c r="G22" s="5">
        <f t="shared" si="4"/>
        <v>0.60640336498936676</v>
      </c>
      <c r="H22" s="5">
        <f t="shared" si="5"/>
        <v>0.90960504748405013</v>
      </c>
      <c r="I22" s="5">
        <f t="shared" si="6"/>
        <v>1.2128067299787335</v>
      </c>
      <c r="J22" s="5">
        <f t="shared" si="7"/>
        <v>1.516008412473417</v>
      </c>
      <c r="L22" t="s">
        <v>29</v>
      </c>
    </row>
    <row r="23" spans="2:12" x14ac:dyDescent="0.15">
      <c r="B23" s="2">
        <v>21</v>
      </c>
      <c r="C23" s="2">
        <f t="shared" si="0"/>
        <v>22</v>
      </c>
      <c r="D23" s="3">
        <f t="shared" si="1"/>
        <v>4.5497032870287271</v>
      </c>
      <c r="E23" s="3">
        <f t="shared" si="2"/>
        <v>10.507089669995842</v>
      </c>
      <c r="F23" s="5">
        <f t="shared" si="3"/>
        <v>0.29655901232997717</v>
      </c>
      <c r="G23" s="5">
        <f t="shared" si="4"/>
        <v>0.59311802465995433</v>
      </c>
      <c r="H23" s="5">
        <f t="shared" si="5"/>
        <v>0.8896770369899315</v>
      </c>
      <c r="I23" s="5">
        <f t="shared" si="6"/>
        <v>1.1862360493199087</v>
      </c>
      <c r="J23" s="5">
        <f t="shared" si="7"/>
        <v>1.4827950616498859</v>
      </c>
    </row>
    <row r="24" spans="2:12" x14ac:dyDescent="0.15">
      <c r="B24" s="2">
        <v>22</v>
      </c>
      <c r="C24" s="2">
        <f t="shared" si="0"/>
        <v>23</v>
      </c>
      <c r="D24" s="3">
        <f t="shared" si="1"/>
        <v>4.6519565776133378</v>
      </c>
      <c r="E24" s="3">
        <f t="shared" si="2"/>
        <v>10.743233529374043</v>
      </c>
      <c r="F24" s="5">
        <f t="shared" si="3"/>
        <v>0.29033370218778137</v>
      </c>
      <c r="G24" s="5">
        <f t="shared" si="4"/>
        <v>0.58066740437556275</v>
      </c>
      <c r="H24" s="5">
        <f t="shared" si="5"/>
        <v>0.87100110656334406</v>
      </c>
      <c r="I24" s="5">
        <f t="shared" si="6"/>
        <v>1.1613348087511255</v>
      </c>
      <c r="J24" s="5">
        <f t="shared" si="7"/>
        <v>1.4516685109389069</v>
      </c>
    </row>
    <row r="25" spans="2:12" x14ac:dyDescent="0.15">
      <c r="B25" s="2">
        <v>23</v>
      </c>
      <c r="C25" s="2">
        <f t="shared" si="0"/>
        <v>24</v>
      </c>
      <c r="D25" s="3">
        <f t="shared" si="1"/>
        <v>4.7520101009993647</v>
      </c>
      <c r="E25" s="3">
        <f t="shared" si="2"/>
        <v>10.974297244015213</v>
      </c>
      <c r="F25" s="5">
        <f t="shared" si="3"/>
        <v>0.28448389644148092</v>
      </c>
      <c r="G25" s="5">
        <f t="shared" si="4"/>
        <v>0.56896779288296184</v>
      </c>
      <c r="H25" s="6">
        <f t="shared" si="5"/>
        <v>0.85345168932444282</v>
      </c>
      <c r="I25" s="5">
        <f t="shared" si="6"/>
        <v>1.1379355857659237</v>
      </c>
      <c r="J25" s="5">
        <f t="shared" si="7"/>
        <v>1.4224194822074046</v>
      </c>
    </row>
    <row r="26" spans="2:12" x14ac:dyDescent="0.15">
      <c r="B26" s="2">
        <v>24</v>
      </c>
      <c r="C26" s="2">
        <f t="shared" si="0"/>
        <v>25</v>
      </c>
      <c r="D26" s="3">
        <f t="shared" si="1"/>
        <v>4.8499999999999996</v>
      </c>
      <c r="E26" s="3">
        <f t="shared" si="2"/>
        <v>11.200595222278737</v>
      </c>
      <c r="F26" s="5">
        <f t="shared" si="3"/>
        <v>0.27897337678733253</v>
      </c>
      <c r="G26" s="5">
        <f t="shared" si="4"/>
        <v>0.55794675357466506</v>
      </c>
      <c r="H26" s="5">
        <f t="shared" si="5"/>
        <v>0.83692013036199753</v>
      </c>
      <c r="I26" s="5">
        <f t="shared" si="6"/>
        <v>1.1158935071493301</v>
      </c>
      <c r="J26" s="5">
        <f t="shared" si="7"/>
        <v>1.3948668839366627</v>
      </c>
    </row>
    <row r="27" spans="2:12" x14ac:dyDescent="0.15">
      <c r="B27" s="2">
        <v>25</v>
      </c>
      <c r="C27" s="2">
        <f t="shared" si="0"/>
        <v>26</v>
      </c>
      <c r="D27" s="3">
        <f t="shared" si="1"/>
        <v>4.9460489281850011</v>
      </c>
      <c r="E27" s="3">
        <f t="shared" si="2"/>
        <v>11.42241072045068</v>
      </c>
      <c r="F27" s="5">
        <f t="shared" si="3"/>
        <v>0.27377062436822813</v>
      </c>
      <c r="G27" s="5">
        <f t="shared" si="4"/>
        <v>0.54754124873645627</v>
      </c>
      <c r="H27" s="5">
        <f t="shared" si="5"/>
        <v>0.82131187310468445</v>
      </c>
      <c r="I27" s="5">
        <f t="shared" si="6"/>
        <v>1.0950824974729125</v>
      </c>
      <c r="J27" s="5">
        <f t="shared" si="7"/>
        <v>1.3688531218411406</v>
      </c>
    </row>
    <row r="28" spans="2:12" x14ac:dyDescent="0.15">
      <c r="B28" s="2">
        <v>26</v>
      </c>
      <c r="C28" s="2">
        <f t="shared" si="0"/>
        <v>27</v>
      </c>
      <c r="D28" s="3">
        <f t="shared" si="1"/>
        <v>5.0402678500254332</v>
      </c>
      <c r="E28" s="3">
        <f t="shared" si="2"/>
        <v>11.64</v>
      </c>
      <c r="F28" s="5">
        <f t="shared" si="3"/>
        <v>0.26884806537540862</v>
      </c>
      <c r="G28" s="5">
        <f t="shared" si="4"/>
        <v>0.53769613075081724</v>
      </c>
      <c r="H28" s="5">
        <f t="shared" si="5"/>
        <v>0.80654419612622585</v>
      </c>
      <c r="I28" s="5">
        <f t="shared" si="6"/>
        <v>1.0753922615016345</v>
      </c>
      <c r="J28" s="5">
        <f t="shared" si="7"/>
        <v>1.3442403268770431</v>
      </c>
    </row>
    <row r="29" spans="2:12" x14ac:dyDescent="0.15">
      <c r="B29" s="2">
        <v>27</v>
      </c>
      <c r="C29" s="2">
        <f t="shared" si="0"/>
        <v>28</v>
      </c>
      <c r="D29" s="3">
        <f t="shared" si="1"/>
        <v>5.1327575434653054</v>
      </c>
      <c r="E29" s="3">
        <f t="shared" si="2"/>
        <v>11.853595797619105</v>
      </c>
      <c r="F29" s="5">
        <f t="shared" si="3"/>
        <v>0.26418145926369246</v>
      </c>
      <c r="G29" s="5">
        <f t="shared" si="4"/>
        <v>0.52836291852738493</v>
      </c>
      <c r="H29" s="5">
        <f t="shared" si="5"/>
        <v>0.79254437779107745</v>
      </c>
      <c r="I29" s="5">
        <f t="shared" si="6"/>
        <v>1.0567258370547699</v>
      </c>
      <c r="J29" s="5">
        <f t="shared" si="7"/>
        <v>1.3209072963184623</v>
      </c>
    </row>
    <row r="30" spans="2:12" x14ac:dyDescent="0.15">
      <c r="B30" s="2">
        <v>28</v>
      </c>
      <c r="C30" s="2">
        <f t="shared" si="0"/>
        <v>29</v>
      </c>
      <c r="D30" s="3">
        <f t="shared" si="1"/>
        <v>5.2236098629204681</v>
      </c>
      <c r="E30" s="3">
        <f t="shared" si="2"/>
        <v>12.063410241994866</v>
      </c>
      <c r="F30" s="5">
        <f t="shared" si="3"/>
        <v>0.25974939884415155</v>
      </c>
      <c r="G30" s="5">
        <f t="shared" si="4"/>
        <v>0.51949879768830309</v>
      </c>
      <c r="H30" s="5">
        <f t="shared" si="5"/>
        <v>0.7792481965324547</v>
      </c>
      <c r="I30" s="5">
        <f t="shared" si="6"/>
        <v>1.0389975953766062</v>
      </c>
      <c r="J30" s="5">
        <f t="shared" si="7"/>
        <v>1.2987469942207577</v>
      </c>
    </row>
    <row r="31" spans="2:12" x14ac:dyDescent="0.15">
      <c r="B31" s="2">
        <v>29</v>
      </c>
      <c r="C31" s="2">
        <f t="shared" si="0"/>
        <v>30</v>
      </c>
      <c r="D31" s="3">
        <f t="shared" si="1"/>
        <v>5.3129088078001114</v>
      </c>
      <c r="E31" s="3">
        <f t="shared" si="2"/>
        <v>12.269637321453311</v>
      </c>
      <c r="F31" s="5">
        <f t="shared" si="3"/>
        <v>0.2555328988996256</v>
      </c>
      <c r="G31" s="5">
        <f t="shared" si="4"/>
        <v>0.51106579779925121</v>
      </c>
      <c r="H31" s="5">
        <f t="shared" si="5"/>
        <v>0.76659869669887681</v>
      </c>
      <c r="I31" s="5">
        <f t="shared" si="6"/>
        <v>1.0221315955985024</v>
      </c>
      <c r="J31" s="5">
        <f t="shared" si="7"/>
        <v>1.2776644944981279</v>
      </c>
    </row>
    <row r="32" spans="2:12" x14ac:dyDescent="0.15">
      <c r="B32" s="2">
        <v>30</v>
      </c>
      <c r="C32" s="2">
        <f t="shared" si="0"/>
        <v>31</v>
      </c>
      <c r="D32" s="3">
        <f t="shared" si="1"/>
        <v>5.400731431945121</v>
      </c>
      <c r="E32" s="3">
        <f t="shared" si="2"/>
        <v>12.472454984217554</v>
      </c>
      <c r="F32" s="5">
        <f t="shared" si="3"/>
        <v>0.2515150554077028</v>
      </c>
      <c r="G32" s="5">
        <f t="shared" si="4"/>
        <v>0.50303011081540561</v>
      </c>
      <c r="H32" s="5">
        <f t="shared" si="5"/>
        <v>0.75454516622310841</v>
      </c>
      <c r="I32" s="5">
        <f t="shared" si="6"/>
        <v>1.0060602216308112</v>
      </c>
      <c r="J32" s="5">
        <f t="shared" si="7"/>
        <v>1.257575277038514</v>
      </c>
    </row>
    <row r="33" spans="2:10" x14ac:dyDescent="0.15">
      <c r="B33" s="2">
        <v>31</v>
      </c>
      <c r="C33" s="2">
        <f t="shared" si="0"/>
        <v>32</v>
      </c>
      <c r="D33" s="3">
        <f t="shared" si="1"/>
        <v>5.4871486220076093</v>
      </c>
      <c r="E33" s="3">
        <f t="shared" si="2"/>
        <v>12.672026935998309</v>
      </c>
      <c r="F33" s="5">
        <f t="shared" si="3"/>
        <v>0.24768076150550949</v>
      </c>
      <c r="G33" s="5">
        <f t="shared" si="4"/>
        <v>0.49536152301101899</v>
      </c>
      <c r="H33" s="5">
        <f t="shared" si="5"/>
        <v>0.74304228451652854</v>
      </c>
      <c r="I33" s="5">
        <f t="shared" si="6"/>
        <v>0.99072304602203798</v>
      </c>
      <c r="J33" s="5">
        <f t="shared" si="7"/>
        <v>1.2384038075275474</v>
      </c>
    </row>
    <row r="34" spans="2:10" x14ac:dyDescent="0.15">
      <c r="B34" s="2">
        <v>32</v>
      </c>
      <c r="C34" s="2">
        <f t="shared" si="0"/>
        <v>33</v>
      </c>
      <c r="D34" s="3">
        <f t="shared" si="1"/>
        <v>5.5722257671418873</v>
      </c>
      <c r="E34" s="3">
        <f t="shared" si="2"/>
        <v>12.868504186578951</v>
      </c>
      <c r="F34" s="5">
        <f t="shared" si="3"/>
        <v>0.24401646937515403</v>
      </c>
      <c r="G34" s="5">
        <f t="shared" si="4"/>
        <v>0.48803293875030807</v>
      </c>
      <c r="H34" s="5">
        <f t="shared" si="5"/>
        <v>0.73204940812546204</v>
      </c>
      <c r="I34" s="5">
        <f t="shared" si="6"/>
        <v>0.97606587750061613</v>
      </c>
      <c r="J34" s="5">
        <f t="shared" si="7"/>
        <v>1.2200823468757702</v>
      </c>
    </row>
    <row r="35" spans="2:10" x14ac:dyDescent="0.15">
      <c r="B35" s="2">
        <v>33</v>
      </c>
      <c r="C35" s="2">
        <f t="shared" si="0"/>
        <v>34</v>
      </c>
      <c r="D35" s="3">
        <f t="shared" si="1"/>
        <v>5.6560233379999412</v>
      </c>
      <c r="E35" s="3">
        <f t="shared" si="2"/>
        <v>13.062026386948284</v>
      </c>
      <c r="F35" s="5">
        <f t="shared" si="3"/>
        <v>0.24050998953837949</v>
      </c>
      <c r="G35" s="5">
        <f t="shared" si="4"/>
        <v>0.48101997907675897</v>
      </c>
      <c r="H35" s="5">
        <f t="shared" si="5"/>
        <v>0.72152996861513841</v>
      </c>
      <c r="I35" s="5">
        <f t="shared" si="6"/>
        <v>0.96203995815351795</v>
      </c>
      <c r="J35" s="5">
        <f t="shared" si="7"/>
        <v>1.2025499476918975</v>
      </c>
    </row>
    <row r="36" spans="2:10" x14ac:dyDescent="0.15">
      <c r="B36" s="2">
        <v>34</v>
      </c>
      <c r="C36" s="2">
        <f t="shared" si="0"/>
        <v>35</v>
      </c>
      <c r="D36" s="3">
        <f t="shared" si="1"/>
        <v>5.7385973896066274</v>
      </c>
      <c r="E36" s="3">
        <f t="shared" si="2"/>
        <v>13.252722990641081</v>
      </c>
      <c r="F36" s="5">
        <f t="shared" si="3"/>
        <v>0.23715032081629575</v>
      </c>
      <c r="G36" s="5">
        <f t="shared" si="4"/>
        <v>0.4743006416325915</v>
      </c>
      <c r="H36" s="5">
        <f t="shared" si="5"/>
        <v>0.71145096244888728</v>
      </c>
      <c r="I36" s="5">
        <f t="shared" si="6"/>
        <v>0.948601283265183</v>
      </c>
      <c r="J36" s="5">
        <f t="shared" si="7"/>
        <v>1.1857516040814788</v>
      </c>
    </row>
    <row r="37" spans="2:10" x14ac:dyDescent="0.15">
      <c r="B37" s="2">
        <v>35</v>
      </c>
      <c r="C37" s="2">
        <f t="shared" si="0"/>
        <v>36</v>
      </c>
      <c r="D37" s="3">
        <f t="shared" si="1"/>
        <v>5.82</v>
      </c>
      <c r="E37" s="3">
        <f t="shared" si="2"/>
        <v>13.440714266734489</v>
      </c>
      <c r="F37" s="5">
        <f t="shared" si="3"/>
        <v>0.23392750557327796</v>
      </c>
      <c r="G37" s="5">
        <f t="shared" si="4"/>
        <v>0.46785501114655592</v>
      </c>
      <c r="H37" s="5">
        <f t="shared" si="5"/>
        <v>0.70178251671983394</v>
      </c>
      <c r="I37" s="10">
        <f t="shared" si="6"/>
        <v>0.93571002229311184</v>
      </c>
      <c r="J37" s="5">
        <f t="shared" si="7"/>
        <v>1.1696375278663897</v>
      </c>
    </row>
    <row r="38" spans="2:10" x14ac:dyDescent="0.15">
      <c r="B38" s="2">
        <v>36</v>
      </c>
      <c r="C38" s="2">
        <f t="shared" si="0"/>
        <v>37</v>
      </c>
      <c r="D38" s="3">
        <f t="shared" si="1"/>
        <v>5.9002796543892728</v>
      </c>
      <c r="E38" s="3">
        <f t="shared" si="2"/>
        <v>13.626112187022875</v>
      </c>
      <c r="F38" s="5">
        <f t="shared" si="3"/>
        <v>0.2308325059236426</v>
      </c>
      <c r="G38" s="5">
        <f t="shared" si="4"/>
        <v>0.4616650118472852</v>
      </c>
      <c r="H38" s="5">
        <f t="shared" si="5"/>
        <v>0.69249751777092783</v>
      </c>
      <c r="I38" s="5">
        <f t="shared" si="6"/>
        <v>0.9233300236945704</v>
      </c>
      <c r="J38" s="5">
        <f t="shared" si="7"/>
        <v>1.154162529618213</v>
      </c>
    </row>
    <row r="39" spans="2:10" x14ac:dyDescent="0.15">
      <c r="B39" s="2">
        <v>37</v>
      </c>
      <c r="C39" s="2">
        <f t="shared" si="0"/>
        <v>38</v>
      </c>
      <c r="D39" s="3">
        <f t="shared" si="1"/>
        <v>5.9794815828799068</v>
      </c>
      <c r="E39" s="3">
        <f t="shared" si="2"/>
        <v>13.809021205960493</v>
      </c>
      <c r="F39" s="5">
        <f t="shared" si="3"/>
        <v>0.22785709740914725</v>
      </c>
      <c r="G39" s="5">
        <f t="shared" si="4"/>
        <v>0.4557141948182945</v>
      </c>
      <c r="H39" s="5">
        <f t="shared" si="5"/>
        <v>0.68357129222744173</v>
      </c>
      <c r="I39" s="5">
        <f t="shared" si="6"/>
        <v>0.91142838963658901</v>
      </c>
      <c r="J39" s="5">
        <f t="shared" si="7"/>
        <v>1.1392854870457363</v>
      </c>
    </row>
    <row r="40" spans="2:10" x14ac:dyDescent="0.15">
      <c r="B40" s="2">
        <v>38</v>
      </c>
      <c r="C40" s="2">
        <f t="shared" si="0"/>
        <v>39</v>
      </c>
      <c r="D40" s="3">
        <f t="shared" si="1"/>
        <v>6.0576480584464463</v>
      </c>
      <c r="E40" s="3">
        <f t="shared" si="2"/>
        <v>13.989538948800279</v>
      </c>
      <c r="F40" s="5">
        <f t="shared" si="3"/>
        <v>0.22499377730906192</v>
      </c>
      <c r="G40" s="5">
        <f t="shared" si="4"/>
        <v>0.44998755461812384</v>
      </c>
      <c r="H40" s="5">
        <f t="shared" si="5"/>
        <v>0.67498133192718579</v>
      </c>
      <c r="I40" s="5">
        <f t="shared" si="6"/>
        <v>0.89997510923624768</v>
      </c>
      <c r="J40" s="5">
        <f t="shared" si="7"/>
        <v>1.1249688865453096</v>
      </c>
    </row>
    <row r="41" spans="2:10" x14ac:dyDescent="0.15">
      <c r="B41" s="2">
        <v>39</v>
      </c>
      <c r="C41" s="2">
        <f t="shared" si="0"/>
        <v>40</v>
      </c>
      <c r="D41" s="3">
        <f t="shared" si="1"/>
        <v>6.1348186607266557</v>
      </c>
      <c r="E41" s="3">
        <f t="shared" si="2"/>
        <v>14.167756820800294</v>
      </c>
      <c r="F41" s="5">
        <f t="shared" si="3"/>
        <v>0.22223568526310294</v>
      </c>
      <c r="G41" s="5">
        <f t="shared" si="4"/>
        <v>0.44447137052620589</v>
      </c>
      <c r="H41" s="5">
        <f t="shared" si="5"/>
        <v>0.66670705578930889</v>
      </c>
      <c r="I41" s="5">
        <f t="shared" si="6"/>
        <v>0.88894274105241178</v>
      </c>
      <c r="J41" s="5">
        <f t="shared" si="7"/>
        <v>1.1111784263155147</v>
      </c>
    </row>
    <row r="42" spans="2:10" x14ac:dyDescent="0.15">
      <c r="B42" s="2">
        <v>40</v>
      </c>
      <c r="C42" s="2">
        <f t="shared" si="0"/>
        <v>41</v>
      </c>
      <c r="D42" s="3">
        <f t="shared" si="1"/>
        <v>6.2110305103098629</v>
      </c>
      <c r="E42" s="3">
        <f t="shared" si="2"/>
        <v>14.343760548289511</v>
      </c>
      <c r="F42" s="5">
        <f t="shared" si="3"/>
        <v>0.21957653430134796</v>
      </c>
      <c r="G42" s="5">
        <f t="shared" si="4"/>
        <v>0.43915306860269593</v>
      </c>
      <c r="H42" s="5">
        <f t="shared" si="5"/>
        <v>0.65872960290404392</v>
      </c>
      <c r="I42" s="5">
        <f t="shared" si="6"/>
        <v>0.87830613720539186</v>
      </c>
      <c r="J42" s="5">
        <f t="shared" si="7"/>
        <v>1.0978826715067398</v>
      </c>
    </row>
    <row r="43" spans="2:10" x14ac:dyDescent="0.15">
      <c r="B43" s="2">
        <v>41</v>
      </c>
      <c r="C43" s="2">
        <f t="shared" si="0"/>
        <v>42</v>
      </c>
      <c r="D43" s="3">
        <f t="shared" si="1"/>
        <v>6.286318477455624</v>
      </c>
      <c r="E43" s="3">
        <f t="shared" si="2"/>
        <v>14.51763066068289</v>
      </c>
      <c r="F43" s="5">
        <f t="shared" si="3"/>
        <v>0.21701055070744352</v>
      </c>
      <c r="G43" s="5">
        <f t="shared" si="4"/>
        <v>0.43402110141488703</v>
      </c>
      <c r="H43" s="5">
        <f t="shared" si="5"/>
        <v>0.6510316521223305</v>
      </c>
      <c r="I43" s="5">
        <f t="shared" si="6"/>
        <v>0.86804220282977407</v>
      </c>
      <c r="J43" s="5">
        <f t="shared" si="7"/>
        <v>1.0850527535372176</v>
      </c>
    </row>
    <row r="44" spans="2:10" x14ac:dyDescent="0.15">
      <c r="B44" s="2">
        <v>42</v>
      </c>
      <c r="C44" s="2">
        <f t="shared" si="0"/>
        <v>43</v>
      </c>
      <c r="D44" s="3">
        <f t="shared" si="1"/>
        <v>6.3607153685729401</v>
      </c>
      <c r="E44" s="3">
        <f t="shared" si="2"/>
        <v>14.689442921136704</v>
      </c>
      <c r="F44" s="5">
        <f t="shared" si="3"/>
        <v>0.21453242140951687</v>
      </c>
      <c r="G44" s="5">
        <f t="shared" si="4"/>
        <v>0.42906484281903373</v>
      </c>
      <c r="H44" s="5">
        <f t="shared" si="5"/>
        <v>0.64359726422855057</v>
      </c>
      <c r="I44" s="5">
        <f t="shared" si="6"/>
        <v>0.85812968563806746</v>
      </c>
      <c r="J44" s="5">
        <f t="shared" si="7"/>
        <v>1.0726621070475844</v>
      </c>
    </row>
    <row r="45" spans="2:10" x14ac:dyDescent="0.15">
      <c r="B45" s="2">
        <v>43</v>
      </c>
      <c r="C45" s="2">
        <f t="shared" si="0"/>
        <v>44</v>
      </c>
      <c r="D45" s="3">
        <f t="shared" si="1"/>
        <v>6.4342520932894756</v>
      </c>
      <c r="E45" s="3">
        <f t="shared" si="2"/>
        <v>14.859268712378366</v>
      </c>
      <c r="F45" s="5">
        <f t="shared" si="3"/>
        <v>0.21213724781075041</v>
      </c>
      <c r="G45" s="5">
        <f t="shared" si="4"/>
        <v>0.42427449562150082</v>
      </c>
      <c r="H45" s="5">
        <f t="shared" si="5"/>
        <v>0.63641174343225126</v>
      </c>
      <c r="I45" s="6">
        <f t="shared" si="6"/>
        <v>0.84854899124300165</v>
      </c>
      <c r="J45" s="5">
        <f t="shared" si="7"/>
        <v>1.0606862390537521</v>
      </c>
    </row>
    <row r="46" spans="2:10" x14ac:dyDescent="0.15">
      <c r="B46" s="2">
        <v>44</v>
      </c>
      <c r="C46" s="2">
        <f t="shared" si="0"/>
        <v>45</v>
      </c>
      <c r="D46" s="3">
        <f t="shared" si="1"/>
        <v>6.5069578145243883</v>
      </c>
      <c r="E46" s="3">
        <f t="shared" si="2"/>
        <v>15.027175383284778</v>
      </c>
      <c r="F46" s="5">
        <f t="shared" si="3"/>
        <v>0.20982050514895387</v>
      </c>
      <c r="G46" s="5">
        <f t="shared" si="4"/>
        <v>0.41964101029790774</v>
      </c>
      <c r="H46" s="5">
        <f t="shared" si="5"/>
        <v>0.62946151544686157</v>
      </c>
      <c r="I46" s="5">
        <f t="shared" si="6"/>
        <v>0.83928202059581547</v>
      </c>
      <c r="J46" s="5">
        <f t="shared" si="7"/>
        <v>1.0491025257447693</v>
      </c>
    </row>
    <row r="47" spans="2:10" x14ac:dyDescent="0.15">
      <c r="B47" s="2">
        <v>45</v>
      </c>
      <c r="C47" s="2">
        <f t="shared" si="0"/>
        <v>46</v>
      </c>
      <c r="D47" s="3">
        <f t="shared" si="1"/>
        <v>6.5788600836315103</v>
      </c>
      <c r="E47" s="3">
        <f t="shared" si="2"/>
        <v>15.193226560982145</v>
      </c>
      <c r="F47" s="5">
        <f t="shared" si="3"/>
        <v>0.20757800661979769</v>
      </c>
      <c r="G47" s="5">
        <f t="shared" si="4"/>
        <v>0.41515601323959539</v>
      </c>
      <c r="H47" s="5">
        <f t="shared" si="5"/>
        <v>0.62273401985939314</v>
      </c>
      <c r="I47" s="5">
        <f t="shared" si="6"/>
        <v>0.83031202647919078</v>
      </c>
      <c r="J47" s="5">
        <f t="shared" si="7"/>
        <v>1.0378900330989884</v>
      </c>
    </row>
    <row r="48" spans="2:10" x14ac:dyDescent="0.15">
      <c r="B48" s="2">
        <v>46</v>
      </c>
      <c r="C48" s="2">
        <f t="shared" si="0"/>
        <v>47</v>
      </c>
      <c r="D48" s="3">
        <f t="shared" si="1"/>
        <v>6.6499849623890128</v>
      </c>
      <c r="E48" s="3">
        <f t="shared" si="2"/>
        <v>15.357482432569038</v>
      </c>
      <c r="F48" s="5">
        <f t="shared" si="3"/>
        <v>0.20540587161798501</v>
      </c>
      <c r="G48" s="5">
        <f t="shared" si="4"/>
        <v>0.41081174323597003</v>
      </c>
      <c r="H48" s="5">
        <f t="shared" si="5"/>
        <v>0.6162176148539551</v>
      </c>
      <c r="I48" s="5">
        <f t="shared" si="6"/>
        <v>0.82162348647194006</v>
      </c>
      <c r="J48" s="5">
        <f t="shared" si="7"/>
        <v>1.027029358089925</v>
      </c>
    </row>
    <row r="49" spans="2:10" x14ac:dyDescent="0.15">
      <c r="B49" s="2">
        <v>47</v>
      </c>
      <c r="C49" s="2">
        <f t="shared" si="0"/>
        <v>48</v>
      </c>
      <c r="D49" s="3">
        <f t="shared" si="1"/>
        <v>6.7203571333672434</v>
      </c>
      <c r="E49" s="3">
        <f t="shared" si="2"/>
        <v>15.519999999999998</v>
      </c>
      <c r="F49" s="5">
        <f t="shared" si="3"/>
        <v>0.20330049754950577</v>
      </c>
      <c r="G49" s="5">
        <f t="shared" si="4"/>
        <v>0.40660099509901154</v>
      </c>
      <c r="H49" s="5">
        <f t="shared" si="5"/>
        <v>0.60990149264851734</v>
      </c>
      <c r="I49" s="5">
        <f t="shared" si="6"/>
        <v>0.81320199019802308</v>
      </c>
      <c r="J49" s="5">
        <f t="shared" si="7"/>
        <v>1.0165024877475288</v>
      </c>
    </row>
    <row r="50" spans="2:10" x14ac:dyDescent="0.15">
      <c r="B50" s="2">
        <v>48</v>
      </c>
      <c r="C50" s="2">
        <f t="shared" si="0"/>
        <v>49</v>
      </c>
      <c r="D50" s="3">
        <f t="shared" si="1"/>
        <v>6.79</v>
      </c>
      <c r="E50" s="3">
        <f t="shared" si="2"/>
        <v>15.680833311190234</v>
      </c>
      <c r="F50" s="5">
        <f t="shared" si="3"/>
        <v>0.20125853475018773</v>
      </c>
      <c r="G50" s="5">
        <f t="shared" si="4"/>
        <v>0.40251706950037547</v>
      </c>
      <c r="H50" s="5">
        <f t="shared" si="5"/>
        <v>0.6037756042505632</v>
      </c>
      <c r="I50" s="5">
        <f t="shared" si="6"/>
        <v>0.80503413900075094</v>
      </c>
      <c r="J50" s="5">
        <f t="shared" si="7"/>
        <v>1.0062926737509388</v>
      </c>
    </row>
    <row r="51" spans="2:10" x14ac:dyDescent="0.15">
      <c r="B51" s="2">
        <v>49</v>
      </c>
      <c r="C51" s="2">
        <f t="shared" si="0"/>
        <v>50</v>
      </c>
      <c r="D51" s="3">
        <f t="shared" si="1"/>
        <v>6.8589357775095108</v>
      </c>
      <c r="E51" s="3">
        <f t="shared" si="2"/>
        <v>15.840033669997885</v>
      </c>
      <c r="F51" s="5">
        <f t="shared" si="3"/>
        <v>0.19927686411414711</v>
      </c>
      <c r="G51" s="5">
        <f t="shared" si="4"/>
        <v>0.39855372822829421</v>
      </c>
      <c r="H51" s="5">
        <f t="shared" si="5"/>
        <v>0.59783059234244129</v>
      </c>
      <c r="I51" s="5">
        <f t="shared" si="6"/>
        <v>0.79710745645658843</v>
      </c>
      <c r="J51" s="5">
        <f t="shared" si="7"/>
        <v>0.99638432057073556</v>
      </c>
    </row>
    <row r="52" spans="2:10" x14ac:dyDescent="0.15">
      <c r="B52" s="2">
        <v>50</v>
      </c>
      <c r="C52" s="2">
        <f t="shared" si="0"/>
        <v>51</v>
      </c>
      <c r="D52" s="3">
        <f t="shared" si="1"/>
        <v>6.9271855756865648</v>
      </c>
      <c r="E52" s="3">
        <f t="shared" si="2"/>
        <v>15.997649827396522</v>
      </c>
      <c r="F52" s="6">
        <f t="shared" si="3"/>
        <v>0.19735257709295559</v>
      </c>
      <c r="G52" s="5">
        <f t="shared" si="4"/>
        <v>0.39470515418591118</v>
      </c>
      <c r="H52" s="5">
        <f t="shared" si="5"/>
        <v>0.59205773127886674</v>
      </c>
      <c r="I52" s="5">
        <f t="shared" si="6"/>
        <v>0.78941030837182236</v>
      </c>
      <c r="J52" s="5">
        <f t="shared" si="7"/>
        <v>0.98676288546477797</v>
      </c>
    </row>
    <row r="53" spans="2:10" x14ac:dyDescent="0.15">
      <c r="B53" s="2">
        <v>51</v>
      </c>
      <c r="C53" s="2">
        <f t="shared" si="0"/>
        <v>52</v>
      </c>
      <c r="D53" s="3">
        <f t="shared" si="1"/>
        <v>6.9947694744001385</v>
      </c>
      <c r="E53" s="3">
        <f t="shared" si="2"/>
        <v>16.153728155857188</v>
      </c>
      <c r="F53" s="5">
        <f t="shared" si="3"/>
        <v>0.19548295777437519</v>
      </c>
      <c r="G53" s="5">
        <f t="shared" si="4"/>
        <v>0.39096591554875038</v>
      </c>
      <c r="H53" s="5">
        <f t="shared" si="5"/>
        <v>0.58644887332312556</v>
      </c>
      <c r="I53" s="5">
        <f t="shared" si="6"/>
        <v>0.78193183109750075</v>
      </c>
      <c r="J53" s="5">
        <f t="shared" si="7"/>
        <v>0.97741478887187594</v>
      </c>
    </row>
    <row r="54" spans="2:10" x14ac:dyDescent="0.15">
      <c r="B54" s="2">
        <v>52</v>
      </c>
      <c r="C54" s="2">
        <f t="shared" si="0"/>
        <v>53</v>
      </c>
      <c r="D54" s="3">
        <f t="shared" si="1"/>
        <v>7.0617065926021025</v>
      </c>
      <c r="E54" s="3">
        <f t="shared" si="2"/>
        <v>16.308312808707914</v>
      </c>
      <c r="F54" s="5">
        <f t="shared" si="3"/>
        <v>0.19366546678998361</v>
      </c>
      <c r="G54" s="5">
        <f t="shared" si="4"/>
        <v>0.38733093357996723</v>
      </c>
      <c r="H54" s="5">
        <f t="shared" si="5"/>
        <v>0.58099640036995082</v>
      </c>
      <c r="I54" s="5">
        <f t="shared" si="6"/>
        <v>0.77466186715993446</v>
      </c>
      <c r="J54" s="5">
        <f t="shared" si="7"/>
        <v>0.9683273339499181</v>
      </c>
    </row>
    <row r="55" spans="2:10" x14ac:dyDescent="0.15">
      <c r="B55" s="2">
        <v>53</v>
      </c>
      <c r="C55" s="2">
        <f t="shared" si="0"/>
        <v>54</v>
      </c>
      <c r="D55" s="3">
        <f t="shared" si="1"/>
        <v>7.1280151514990484</v>
      </c>
      <c r="E55" s="3">
        <f t="shared" si="2"/>
        <v>16.461445866022824</v>
      </c>
      <c r="F55" s="5">
        <f t="shared" si="3"/>
        <v>0.19189772683523049</v>
      </c>
      <c r="G55" s="5">
        <f t="shared" si="4"/>
        <v>0.38379545367046097</v>
      </c>
      <c r="H55" s="5">
        <f t="shared" si="5"/>
        <v>0.57569318050569152</v>
      </c>
      <c r="I55" s="5">
        <f t="shared" si="6"/>
        <v>0.76759090734092195</v>
      </c>
      <c r="J55" s="5">
        <f t="shared" si="7"/>
        <v>0.95948863417615238</v>
      </c>
    </row>
    <row r="56" spans="2:10" x14ac:dyDescent="0.15">
      <c r="B56" s="2">
        <v>54</v>
      </c>
      <c r="C56" s="2">
        <f t="shared" si="0"/>
        <v>55</v>
      </c>
      <c r="D56" s="3">
        <f t="shared" si="1"/>
        <v>7.1937125324827926</v>
      </c>
      <c r="E56" s="3">
        <f t="shared" si="2"/>
        <v>16.613167468406896</v>
      </c>
      <c r="F56" s="5">
        <f t="shared" si="3"/>
        <v>0.19017750961447971</v>
      </c>
      <c r="G56" s="5">
        <f t="shared" si="4"/>
        <v>0.38035501922895942</v>
      </c>
      <c r="H56" s="5">
        <f t="shared" si="5"/>
        <v>0.57053252884343908</v>
      </c>
      <c r="I56" s="5">
        <f t="shared" si="6"/>
        <v>0.76071003845791885</v>
      </c>
      <c r="J56" s="5">
        <f t="shared" si="7"/>
        <v>0.95088754807239861</v>
      </c>
    </row>
    <row r="57" spans="2:10" x14ac:dyDescent="0.15">
      <c r="B57" s="2">
        <v>55</v>
      </c>
      <c r="C57" s="2">
        <f t="shared" si="0"/>
        <v>56</v>
      </c>
      <c r="D57" s="3">
        <f t="shared" si="1"/>
        <v>7.258815330341446</v>
      </c>
      <c r="E57" s="3">
        <f t="shared" si="2"/>
        <v>16.763515939881664</v>
      </c>
      <c r="F57" s="5">
        <f t="shared" si="3"/>
        <v>0.18850272404828841</v>
      </c>
      <c r="G57" s="5">
        <f t="shared" si="4"/>
        <v>0.37700544809657682</v>
      </c>
      <c r="H57" s="5">
        <f t="shared" si="5"/>
        <v>0.56550817214486526</v>
      </c>
      <c r="I57" s="5">
        <f t="shared" si="6"/>
        <v>0.75401089619315365</v>
      </c>
      <c r="J57" s="5">
        <f t="shared" si="7"/>
        <v>0.94251362024144203</v>
      </c>
    </row>
    <row r="58" spans="2:10" x14ac:dyDescent="0.15">
      <c r="B58" s="2">
        <v>56</v>
      </c>
      <c r="C58" s="2">
        <f t="shared" si="0"/>
        <v>57</v>
      </c>
      <c r="D58" s="3">
        <f t="shared" si="1"/>
        <v>7.3233394022126275</v>
      </c>
      <c r="E58" s="3">
        <f t="shared" si="2"/>
        <v>16.912527900937814</v>
      </c>
      <c r="F58" s="5">
        <f t="shared" si="3"/>
        <v>0.18687140560123855</v>
      </c>
      <c r="G58" s="5">
        <f t="shared" si="4"/>
        <v>0.3737428112024771</v>
      </c>
      <c r="H58" s="5">
        <f t="shared" si="5"/>
        <v>0.56061421680371559</v>
      </c>
      <c r="I58" s="5">
        <f t="shared" si="6"/>
        <v>0.7474856224049542</v>
      </c>
      <c r="J58" s="10">
        <f t="shared" si="7"/>
        <v>0.9343570280061928</v>
      </c>
    </row>
    <row r="59" spans="2:10" x14ac:dyDescent="0.15">
      <c r="B59" s="2">
        <v>57</v>
      </c>
      <c r="C59" s="2">
        <f t="shared" si="0"/>
        <v>58</v>
      </c>
      <c r="D59" s="3">
        <f t="shared" si="1"/>
        <v>7.3872999126879915</v>
      </c>
      <c r="E59" s="3">
        <f t="shared" si="2"/>
        <v>17.06023837269964</v>
      </c>
      <c r="F59" s="5">
        <f t="shared" si="3"/>
        <v>0.18528170660666932</v>
      </c>
      <c r="G59" s="5">
        <f t="shared" si="4"/>
        <v>0.37056341321333863</v>
      </c>
      <c r="H59" s="5">
        <f t="shared" si="5"/>
        <v>0.55584511982000795</v>
      </c>
      <c r="I59" s="5">
        <f t="shared" si="6"/>
        <v>0.74112682642667727</v>
      </c>
      <c r="J59" s="5">
        <f t="shared" si="7"/>
        <v>0.92640853303334658</v>
      </c>
    </row>
    <row r="60" spans="2:10" x14ac:dyDescent="0.15">
      <c r="B60" s="2">
        <v>58</v>
      </c>
      <c r="C60" s="2">
        <f t="shared" si="0"/>
        <v>59</v>
      </c>
      <c r="D60" s="3">
        <f t="shared" si="1"/>
        <v>7.4507113754325491</v>
      </c>
      <c r="E60" s="3">
        <f t="shared" si="2"/>
        <v>17.206680873040757</v>
      </c>
      <c r="F60" s="5">
        <f t="shared" si="3"/>
        <v>0.18373188748013425</v>
      </c>
      <c r="G60" s="5">
        <f t="shared" si="4"/>
        <v>0.3674637749602685</v>
      </c>
      <c r="H60" s="5">
        <f t="shared" si="5"/>
        <v>0.55119566244040274</v>
      </c>
      <c r="I60" s="5">
        <f t="shared" si="6"/>
        <v>0.73492754992053699</v>
      </c>
      <c r="J60" s="5">
        <f t="shared" si="7"/>
        <v>0.91865943740067124</v>
      </c>
    </row>
    <row r="61" spans="2:10" x14ac:dyDescent="0.15">
      <c r="B61" s="2">
        <v>59</v>
      </c>
      <c r="C61" s="2">
        <f t="shared" si="0"/>
        <v>60</v>
      </c>
      <c r="D61" s="3">
        <f t="shared" si="1"/>
        <v>7.5135876916423889</v>
      </c>
      <c r="E61" s="3">
        <f t="shared" si="2"/>
        <v>17.351887505398366</v>
      </c>
      <c r="F61" s="5">
        <f t="shared" si="3"/>
        <v>0.18222030872672568</v>
      </c>
      <c r="G61" s="5">
        <f t="shared" si="4"/>
        <v>0.36444061745345135</v>
      </c>
      <c r="H61" s="5">
        <f t="shared" si="5"/>
        <v>0.54666092618017703</v>
      </c>
      <c r="I61" s="5">
        <f t="shared" si="6"/>
        <v>0.72888123490690271</v>
      </c>
      <c r="J61" s="5">
        <f t="shared" si="7"/>
        <v>0.91110154363362839</v>
      </c>
    </row>
    <row r="62" spans="2:10" x14ac:dyDescent="0.15">
      <c r="B62" s="2">
        <v>60</v>
      </c>
      <c r="C62" s="2">
        <f t="shared" si="0"/>
        <v>61</v>
      </c>
      <c r="D62" s="3">
        <f t="shared" si="1"/>
        <v>7.5759421856294544</v>
      </c>
      <c r="E62" s="3">
        <f t="shared" si="2"/>
        <v>17.495889040952829</v>
      </c>
      <c r="F62" s="5">
        <f t="shared" si="3"/>
        <v>0.18074542365889518</v>
      </c>
      <c r="G62" s="5">
        <f t="shared" si="4"/>
        <v>0.36149084731779035</v>
      </c>
      <c r="H62" s="5">
        <f t="shared" si="5"/>
        <v>0.54223627097668547</v>
      </c>
      <c r="I62" s="5">
        <f t="shared" si="6"/>
        <v>0.72298169463558071</v>
      </c>
      <c r="J62" s="5">
        <f t="shared" si="7"/>
        <v>0.90372711829447594</v>
      </c>
    </row>
    <row r="63" spans="2:10" x14ac:dyDescent="0.15">
      <c r="B63" s="2">
        <v>61</v>
      </c>
      <c r="C63" s="2">
        <f t="shared" si="0"/>
        <v>62</v>
      </c>
      <c r="D63" s="3">
        <f t="shared" si="1"/>
        <v>7.6377876377914564</v>
      </c>
      <c r="E63" s="3">
        <f t="shared" si="2"/>
        <v>17.638714994768371</v>
      </c>
      <c r="F63" s="5">
        <f t="shared" si="3"/>
        <v>0.17930577175134035</v>
      </c>
      <c r="G63" s="5">
        <f t="shared" si="4"/>
        <v>0.35861154350268071</v>
      </c>
      <c r="H63" s="5">
        <f t="shared" si="5"/>
        <v>0.53791731525402109</v>
      </c>
      <c r="I63" s="5">
        <f t="shared" si="6"/>
        <v>0.71722308700536141</v>
      </c>
      <c r="J63" s="5">
        <f t="shared" si="7"/>
        <v>0.89652885875670174</v>
      </c>
    </row>
    <row r="64" spans="2:10" x14ac:dyDescent="0.15">
      <c r="B64" s="2">
        <v>62</v>
      </c>
      <c r="C64" s="2">
        <f t="shared" si="0"/>
        <v>63</v>
      </c>
      <c r="D64" s="3">
        <f t="shared" si="1"/>
        <v>7.6991363151979586</v>
      </c>
      <c r="E64" s="3">
        <f t="shared" si="2"/>
        <v>17.780393696428657</v>
      </c>
      <c r="F64" s="5">
        <f t="shared" si="3"/>
        <v>0.17789997256814311</v>
      </c>
      <c r="G64" s="5">
        <f t="shared" si="4"/>
        <v>0.35579994513628621</v>
      </c>
      <c r="H64" s="5">
        <f t="shared" si="5"/>
        <v>0.53369991770442926</v>
      </c>
      <c r="I64" s="5">
        <f t="shared" si="6"/>
        <v>0.71159989027257242</v>
      </c>
      <c r="J64" s="5">
        <f t="shared" si="7"/>
        <v>0.88949986284071558</v>
      </c>
    </row>
    <row r="65" spans="2:10" x14ac:dyDescent="0.15">
      <c r="B65" s="2">
        <v>63</v>
      </c>
      <c r="C65" s="2">
        <f t="shared" si="0"/>
        <v>64</v>
      </c>
      <c r="D65" s="3">
        <f t="shared" si="1"/>
        <v>7.76</v>
      </c>
      <c r="E65" s="3">
        <f t="shared" si="2"/>
        <v>17.920952355645984</v>
      </c>
      <c r="F65" s="5">
        <f t="shared" si="3"/>
        <v>0.17652672020483501</v>
      </c>
      <c r="G65" s="5">
        <f t="shared" si="4"/>
        <v>0.35305344040967002</v>
      </c>
      <c r="H65" s="5">
        <f t="shared" si="5"/>
        <v>0.52958016061450497</v>
      </c>
      <c r="I65" s="5">
        <f t="shared" si="6"/>
        <v>0.70610688081934003</v>
      </c>
      <c r="J65" s="5">
        <f t="shared" si="7"/>
        <v>0.8826336010241751</v>
      </c>
    </row>
    <row r="66" spans="2:10" x14ac:dyDescent="0.15">
      <c r="B66" s="2">
        <v>64</v>
      </c>
      <c r="C66" s="2">
        <f t="shared" si="0"/>
        <v>65</v>
      </c>
      <c r="D66" s="3">
        <f t="shared" si="1"/>
        <v>7.8203900158495925</v>
      </c>
      <c r="E66" s="3">
        <f t="shared" si="2"/>
        <v>18.060417123274494</v>
      </c>
      <c r="F66" s="5">
        <f t="shared" si="3"/>
        <v>0.17518477819458761</v>
      </c>
      <c r="G66" s="5">
        <f t="shared" si="4"/>
        <v>0.35036955638917522</v>
      </c>
      <c r="H66" s="5">
        <f t="shared" si="5"/>
        <v>0.52555433458376277</v>
      </c>
      <c r="I66" s="5">
        <f t="shared" si="6"/>
        <v>0.70073911277835044</v>
      </c>
      <c r="J66" s="5">
        <f t="shared" si="7"/>
        <v>0.8759238909729381</v>
      </c>
    </row>
    <row r="67" spans="2:10" x14ac:dyDescent="0.15">
      <c r="B67" s="2">
        <v>65</v>
      </c>
      <c r="C67" s="2">
        <f t="shared" si="0"/>
        <v>66</v>
      </c>
      <c r="D67" s="3">
        <f t="shared" si="1"/>
        <v>7.8803172524968819</v>
      </c>
      <c r="E67" s="3">
        <f t="shared" si="2"/>
        <v>18.198813148114905</v>
      </c>
      <c r="F67" s="5">
        <f t="shared" si="3"/>
        <v>0.17387297483341996</v>
      </c>
      <c r="G67" s="5">
        <f t="shared" si="4"/>
        <v>0.34774594966683992</v>
      </c>
      <c r="H67" s="5">
        <f t="shared" si="5"/>
        <v>0.52161892450025982</v>
      </c>
      <c r="I67" s="5">
        <f t="shared" si="6"/>
        <v>0.69549189933367983</v>
      </c>
      <c r="J67" s="5">
        <f t="shared" si="7"/>
        <v>0.86936487416709984</v>
      </c>
    </row>
    <row r="68" spans="2:10" x14ac:dyDescent="0.15">
      <c r="B68" s="2">
        <v>66</v>
      </c>
      <c r="C68" s="2">
        <f t="shared" ref="C68:C102" si="8">B68+1</f>
        <v>67</v>
      </c>
      <c r="D68" s="3">
        <f t="shared" ref="D68:D102" si="9">0.97*C68^0.5</f>
        <v>7.939792188716277</v>
      </c>
      <c r="E68" s="3">
        <f t="shared" ref="E68:E102" si="10">4*3^0.5*D68/3</f>
        <v>18.336164629860122</v>
      </c>
      <c r="F68" s="5">
        <f t="shared" ref="F68:F102" si="11">(8+16*B68)/E68^3</f>
        <v>0.17259019888430191</v>
      </c>
      <c r="G68" s="5">
        <f t="shared" ref="G68:G102" si="12">F68*2</f>
        <v>0.34518039776860382</v>
      </c>
      <c r="H68" s="5">
        <f t="shared" ref="H68:H102" si="13">F68*3</f>
        <v>0.5177705966529057</v>
      </c>
      <c r="I68" s="5">
        <f t="shared" ref="I68:I102" si="14">F68*4</f>
        <v>0.69036079553720764</v>
      </c>
      <c r="J68" s="5">
        <f t="shared" ref="J68:J102" si="15">F68*5</f>
        <v>0.86295099442150958</v>
      </c>
    </row>
    <row r="69" spans="2:10" x14ac:dyDescent="0.15">
      <c r="B69" s="2">
        <v>67</v>
      </c>
      <c r="C69" s="2">
        <f t="shared" si="8"/>
        <v>68</v>
      </c>
      <c r="D69" s="3">
        <f t="shared" si="9"/>
        <v>7.998824913698261</v>
      </c>
      <c r="E69" s="3">
        <f t="shared" si="10"/>
        <v>18.472494868497503</v>
      </c>
      <c r="F69" s="5">
        <f t="shared" si="11"/>
        <v>0.1713353956243929</v>
      </c>
      <c r="G69" s="5">
        <f t="shared" si="12"/>
        <v>0.3426707912487858</v>
      </c>
      <c r="H69" s="5">
        <f t="shared" si="13"/>
        <v>0.51400618687317867</v>
      </c>
      <c r="I69" s="5">
        <f t="shared" si="14"/>
        <v>0.6853415824975716</v>
      </c>
      <c r="J69" s="5">
        <f t="shared" si="15"/>
        <v>0.85667697812196453</v>
      </c>
    </row>
    <row r="70" spans="2:10" x14ac:dyDescent="0.15">
      <c r="B70" s="2">
        <v>68</v>
      </c>
      <c r="C70" s="2">
        <f t="shared" si="8"/>
        <v>69</v>
      </c>
      <c r="D70" s="3">
        <f t="shared" si="9"/>
        <v>8.057425147030532</v>
      </c>
      <c r="E70" s="3">
        <f t="shared" si="10"/>
        <v>18.607826310453351</v>
      </c>
      <c r="F70" s="5">
        <f t="shared" si="11"/>
        <v>0.17010756320349821</v>
      </c>
      <c r="G70" s="5">
        <f t="shared" si="12"/>
        <v>0.34021512640699642</v>
      </c>
      <c r="H70" s="5">
        <f t="shared" si="13"/>
        <v>0.51032268961049465</v>
      </c>
      <c r="I70" s="5">
        <f t="shared" si="14"/>
        <v>0.68043025281399283</v>
      </c>
      <c r="J70" s="6">
        <f t="shared" si="15"/>
        <v>0.85053781601749101</v>
      </c>
    </row>
    <row r="71" spans="2:10" x14ac:dyDescent="0.15">
      <c r="B71" s="2">
        <v>69</v>
      </c>
      <c r="C71" s="2">
        <f t="shared" si="8"/>
        <v>70</v>
      </c>
      <c r="D71" s="3">
        <f t="shared" si="9"/>
        <v>8.115602257380532</v>
      </c>
      <c r="E71" s="3">
        <f t="shared" si="10"/>
        <v>18.742180591738336</v>
      </c>
      <c r="F71" s="5">
        <f t="shared" si="11"/>
        <v>0.16890574928520122</v>
      </c>
      <c r="G71" s="5">
        <f t="shared" si="12"/>
        <v>0.33781149857040244</v>
      </c>
      <c r="H71" s="5">
        <f t="shared" si="13"/>
        <v>0.50671724785560368</v>
      </c>
      <c r="I71" s="5">
        <f t="shared" si="14"/>
        <v>0.67562299714080487</v>
      </c>
      <c r="J71" s="5">
        <f t="shared" si="15"/>
        <v>0.84452874642600606</v>
      </c>
    </row>
    <row r="72" spans="2:10" x14ac:dyDescent="0.15">
      <c r="B72" s="2">
        <v>70</v>
      </c>
      <c r="C72" s="2">
        <f t="shared" si="8"/>
        <v>71</v>
      </c>
      <c r="D72" s="3">
        <f t="shared" si="9"/>
        <v>8.1733652799810681</v>
      </c>
      <c r="E72" s="3">
        <f t="shared" si="10"/>
        <v>18.875578578328842</v>
      </c>
      <c r="F72" s="5">
        <f t="shared" si="11"/>
        <v>0.16772904794510224</v>
      </c>
      <c r="G72" s="5">
        <f t="shared" si="12"/>
        <v>0.33545809589020448</v>
      </c>
      <c r="H72" s="5">
        <f t="shared" si="13"/>
        <v>0.50318714383530672</v>
      </c>
      <c r="I72" s="5">
        <f t="shared" si="14"/>
        <v>0.67091619178040895</v>
      </c>
      <c r="J72" s="5">
        <f t="shared" si="15"/>
        <v>0.83864523972551119</v>
      </c>
    </row>
    <row r="73" spans="2:10" x14ac:dyDescent="0.15">
      <c r="B73" s="2">
        <v>71</v>
      </c>
      <c r="C73" s="2">
        <f t="shared" si="8"/>
        <v>72</v>
      </c>
      <c r="D73" s="3">
        <f t="shared" si="9"/>
        <v>8.2307229330114122</v>
      </c>
      <c r="E73" s="3">
        <f t="shared" si="10"/>
        <v>19.008040403997459</v>
      </c>
      <c r="F73" s="5">
        <f t="shared" si="11"/>
        <v>0.16657659680323519</v>
      </c>
      <c r="G73" s="5">
        <f t="shared" si="12"/>
        <v>0.33315319360647039</v>
      </c>
      <c r="H73" s="5">
        <f t="shared" si="13"/>
        <v>0.49972979040970555</v>
      </c>
      <c r="I73" s="5">
        <f t="shared" si="14"/>
        <v>0.66630638721294078</v>
      </c>
      <c r="J73" s="5">
        <f t="shared" si="15"/>
        <v>0.832882984016176</v>
      </c>
    </row>
    <row r="74" spans="2:10" x14ac:dyDescent="0.15">
      <c r="B74" s="2">
        <v>72</v>
      </c>
      <c r="C74" s="2">
        <f t="shared" si="8"/>
        <v>73</v>
      </c>
      <c r="D74" s="3">
        <f t="shared" si="9"/>
        <v>8.2876836329580037</v>
      </c>
      <c r="E74" s="3">
        <f t="shared" si="10"/>
        <v>19.139585505787036</v>
      </c>
      <c r="F74" s="5">
        <f t="shared" si="11"/>
        <v>0.1654475743700492</v>
      </c>
      <c r="G74" s="5">
        <f t="shared" si="12"/>
        <v>0.3308951487400984</v>
      </c>
      <c r="H74" s="5">
        <f t="shared" si="13"/>
        <v>0.4963427231101476</v>
      </c>
      <c r="I74" s="5">
        <f t="shared" si="14"/>
        <v>0.6617902974801968</v>
      </c>
      <c r="J74" s="5">
        <f t="shared" si="15"/>
        <v>0.827237871850246</v>
      </c>
    </row>
    <row r="75" spans="2:10" x14ac:dyDescent="0.15">
      <c r="B75" s="2">
        <v>73</v>
      </c>
      <c r="C75" s="2">
        <f t="shared" si="8"/>
        <v>74</v>
      </c>
      <c r="D75" s="3">
        <f t="shared" si="9"/>
        <v>8.3442555090313473</v>
      </c>
      <c r="E75" s="3">
        <f t="shared" si="10"/>
        <v>19.270232657305062</v>
      </c>
      <c r="F75" s="5">
        <f t="shared" si="11"/>
        <v>0.16434119758741828</v>
      </c>
      <c r="G75" s="5">
        <f t="shared" si="12"/>
        <v>0.32868239517483655</v>
      </c>
      <c r="H75" s="5">
        <f t="shared" si="13"/>
        <v>0.49302359276225483</v>
      </c>
      <c r="I75" s="5">
        <f t="shared" si="14"/>
        <v>0.6573647903496731</v>
      </c>
      <c r="J75" s="5">
        <f t="shared" si="15"/>
        <v>0.82170598793709138</v>
      </c>
    </row>
    <row r="76" spans="2:10" x14ac:dyDescent="0.15">
      <c r="B76" s="2">
        <v>74</v>
      </c>
      <c r="C76" s="2">
        <f t="shared" si="8"/>
        <v>75</v>
      </c>
      <c r="D76" s="3">
        <f t="shared" si="9"/>
        <v>8.4004464167090553</v>
      </c>
      <c r="E76" s="3">
        <f t="shared" si="10"/>
        <v>19.400000000000002</v>
      </c>
      <c r="F76" s="5">
        <f t="shared" si="11"/>
        <v>0.16325671954796511</v>
      </c>
      <c r="G76" s="5">
        <f t="shared" si="12"/>
        <v>0.32651343909593022</v>
      </c>
      <c r="H76" s="5">
        <f t="shared" si="13"/>
        <v>0.48977015864389534</v>
      </c>
      <c r="I76" s="5">
        <f t="shared" si="14"/>
        <v>0.65302687819186045</v>
      </c>
      <c r="J76" s="5">
        <f t="shared" si="15"/>
        <v>0.81628359773982551</v>
      </c>
    </row>
    <row r="77" spans="2:10" x14ac:dyDescent="0.15">
      <c r="B77" s="2">
        <v>75</v>
      </c>
      <c r="C77" s="2">
        <f t="shared" si="8"/>
        <v>76</v>
      </c>
      <c r="D77" s="3">
        <f t="shared" si="9"/>
        <v>8.456263950468907</v>
      </c>
      <c r="E77" s="3">
        <f t="shared" si="10"/>
        <v>19.528905072567007</v>
      </c>
      <c r="F77" s="5">
        <f t="shared" si="11"/>
        <v>0.16219342737762155</v>
      </c>
      <c r="G77" s="5">
        <f t="shared" si="12"/>
        <v>0.32438685475524309</v>
      </c>
      <c r="H77" s="5">
        <f t="shared" si="13"/>
        <v>0.48658028213286464</v>
      </c>
      <c r="I77" s="5">
        <f t="shared" si="14"/>
        <v>0.64877370951048619</v>
      </c>
      <c r="J77" s="5">
        <f t="shared" si="15"/>
        <v>0.81096713688810773</v>
      </c>
    </row>
    <row r="78" spans="2:10" x14ac:dyDescent="0.15">
      <c r="B78" s="2">
        <v>76</v>
      </c>
      <c r="C78" s="2">
        <f t="shared" si="8"/>
        <v>77</v>
      </c>
      <c r="D78" s="3">
        <f t="shared" si="9"/>
        <v>8.5117154557703589</v>
      </c>
      <c r="E78" s="3">
        <f t="shared" si="10"/>
        <v>19.656964838618059</v>
      </c>
      <c r="F78" s="5">
        <f t="shared" si="11"/>
        <v>0.16115064026779599</v>
      </c>
      <c r="G78" s="5">
        <f t="shared" si="12"/>
        <v>0.32230128053559198</v>
      </c>
      <c r="H78" s="5">
        <f t="shared" si="13"/>
        <v>0.48345192080338795</v>
      </c>
      <c r="I78" s="5">
        <f t="shared" si="14"/>
        <v>0.64460256107118397</v>
      </c>
      <c r="J78" s="5">
        <f t="shared" si="15"/>
        <v>0.80575320133897999</v>
      </c>
    </row>
    <row r="79" spans="2:10" x14ac:dyDescent="0.15">
      <c r="B79" s="2">
        <v>77</v>
      </c>
      <c r="C79" s="2">
        <f t="shared" si="8"/>
        <v>78</v>
      </c>
      <c r="D79" s="3">
        <f t="shared" si="9"/>
        <v>8.566808040338012</v>
      </c>
      <c r="E79" s="3">
        <f t="shared" si="10"/>
        <v>19.784195712740004</v>
      </c>
      <c r="F79" s="5">
        <f t="shared" si="11"/>
        <v>0.16012770764481896</v>
      </c>
      <c r="G79" s="5">
        <f t="shared" si="12"/>
        <v>0.32025541528963791</v>
      </c>
      <c r="H79" s="5">
        <f t="shared" si="13"/>
        <v>0.48038312293445684</v>
      </c>
      <c r="I79" s="5">
        <f t="shared" si="14"/>
        <v>0.64051083057927582</v>
      </c>
      <c r="J79" s="5">
        <f t="shared" si="15"/>
        <v>0.80063853822409481</v>
      </c>
    </row>
    <row r="80" spans="2:10" x14ac:dyDescent="0.15">
      <c r="B80" s="2">
        <v>78</v>
      </c>
      <c r="C80" s="2">
        <f t="shared" si="8"/>
        <v>79</v>
      </c>
      <c r="D80" s="3">
        <f t="shared" si="9"/>
        <v>8.6215485847961215</v>
      </c>
      <c r="E80" s="3">
        <f t="shared" si="10"/>
        <v>19.910613585053909</v>
      </c>
      <c r="F80" s="5">
        <f t="shared" si="11"/>
        <v>0.15912400746549024</v>
      </c>
      <c r="G80" s="5">
        <f t="shared" si="12"/>
        <v>0.31824801493098048</v>
      </c>
      <c r="H80" s="5">
        <f t="shared" si="13"/>
        <v>0.4773720223964707</v>
      </c>
      <c r="I80" s="5">
        <f t="shared" si="14"/>
        <v>0.63649602986196097</v>
      </c>
      <c r="J80" s="5">
        <f t="shared" si="15"/>
        <v>0.79562003732745123</v>
      </c>
    </row>
    <row r="81" spans="2:10" x14ac:dyDescent="0.15">
      <c r="B81" s="2">
        <v>79</v>
      </c>
      <c r="C81" s="2">
        <f t="shared" si="8"/>
        <v>80</v>
      </c>
      <c r="D81" s="3">
        <f t="shared" si="9"/>
        <v>8.6759437526991849</v>
      </c>
      <c r="E81" s="3">
        <f t="shared" si="10"/>
        <v>20.036233844379705</v>
      </c>
      <c r="F81" s="5">
        <f t="shared" si="11"/>
        <v>0.15813894462859177</v>
      </c>
      <c r="G81" s="5">
        <f t="shared" si="12"/>
        <v>0.31627788925718353</v>
      </c>
      <c r="H81" s="5">
        <f t="shared" si="13"/>
        <v>0.47441683388577527</v>
      </c>
      <c r="I81" s="5">
        <f t="shared" si="14"/>
        <v>0.63255577851436706</v>
      </c>
      <c r="J81" s="5">
        <f t="shared" si="15"/>
        <v>0.79069472314295886</v>
      </c>
    </row>
    <row r="82" spans="2:10" x14ac:dyDescent="0.15">
      <c r="B82" s="2">
        <v>80</v>
      </c>
      <c r="C82" s="2">
        <f t="shared" si="8"/>
        <v>81</v>
      </c>
      <c r="D82" s="3">
        <f t="shared" si="9"/>
        <v>8.73</v>
      </c>
      <c r="E82" s="3">
        <f t="shared" si="10"/>
        <v>20.161071400101729</v>
      </c>
      <c r="F82" s="5">
        <f t="shared" si="11"/>
        <v>0.15717194949315713</v>
      </c>
      <c r="G82" s="5">
        <f t="shared" si="12"/>
        <v>0.31434389898631426</v>
      </c>
      <c r="H82" s="5">
        <f t="shared" si="13"/>
        <v>0.47151584847947137</v>
      </c>
      <c r="I82" s="5">
        <f t="shared" si="14"/>
        <v>0.62868779797262853</v>
      </c>
      <c r="J82" s="5">
        <f t="shared" si="15"/>
        <v>0.78585974746578569</v>
      </c>
    </row>
    <row r="83" spans="2:10" x14ac:dyDescent="0.15">
      <c r="B83" s="2">
        <v>81</v>
      </c>
      <c r="C83" s="2">
        <f t="shared" si="8"/>
        <v>82</v>
      </c>
      <c r="D83" s="3">
        <f t="shared" si="9"/>
        <v>8.7837235839932948</v>
      </c>
      <c r="E83" s="3">
        <f t="shared" si="10"/>
        <v>20.28514070282317</v>
      </c>
      <c r="F83" s="5">
        <f t="shared" si="11"/>
        <v>0.15622247649512072</v>
      </c>
      <c r="G83" s="5">
        <f t="shared" si="12"/>
        <v>0.31244495299024144</v>
      </c>
      <c r="H83" s="5">
        <f t="shared" si="13"/>
        <v>0.46866742948536216</v>
      </c>
      <c r="I83" s="5">
        <f t="shared" si="14"/>
        <v>0.62488990598048288</v>
      </c>
      <c r="J83" s="5">
        <f t="shared" si="15"/>
        <v>0.78111238247560366</v>
      </c>
    </row>
    <row r="84" spans="2:10" x14ac:dyDescent="0.15">
      <c r="B84" s="2">
        <v>82</v>
      </c>
      <c r="C84" s="2">
        <f t="shared" si="8"/>
        <v>83</v>
      </c>
      <c r="D84" s="3">
        <f t="shared" si="9"/>
        <v>8.8371205717699706</v>
      </c>
      <c r="E84" s="3">
        <f t="shared" si="10"/>
        <v>20.408455763890288</v>
      </c>
      <c r="F84" s="5">
        <f t="shared" si="11"/>
        <v>0.15529000285472361</v>
      </c>
      <c r="G84" s="5">
        <f t="shared" si="12"/>
        <v>0.31058000570944722</v>
      </c>
      <c r="H84" s="5">
        <f t="shared" si="13"/>
        <v>0.46587000856417082</v>
      </c>
      <c r="I84" s="5">
        <f t="shared" si="14"/>
        <v>0.62116001141889443</v>
      </c>
      <c r="J84" s="5">
        <f t="shared" si="15"/>
        <v>0.77645001427361804</v>
      </c>
    </row>
    <row r="85" spans="2:10" x14ac:dyDescent="0.15">
      <c r="B85" s="2">
        <v>83</v>
      </c>
      <c r="C85" s="2">
        <f t="shared" si="8"/>
        <v>84</v>
      </c>
      <c r="D85" s="3">
        <f t="shared" si="9"/>
        <v>8.8901968482143285</v>
      </c>
      <c r="E85" s="3">
        <f t="shared" si="10"/>
        <v>20.531030173861218</v>
      </c>
      <c r="F85" s="5">
        <f t="shared" si="11"/>
        <v>0.15437402736771988</v>
      </c>
      <c r="G85" s="5">
        <f t="shared" si="12"/>
        <v>0.30874805473543976</v>
      </c>
      <c r="H85" s="5">
        <f t="shared" si="13"/>
        <v>0.46312208210315964</v>
      </c>
      <c r="I85" s="5">
        <f t="shared" si="14"/>
        <v>0.61749610947087952</v>
      </c>
      <c r="J85" s="5">
        <f t="shared" si="15"/>
        <v>0.7718701368385994</v>
      </c>
    </row>
    <row r="86" spans="2:10" x14ac:dyDescent="0.15">
      <c r="B86" s="2">
        <v>84</v>
      </c>
      <c r="C86" s="2">
        <f t="shared" si="8"/>
        <v>85</v>
      </c>
      <c r="D86" s="3">
        <f t="shared" si="9"/>
        <v>8.9429581235740994</v>
      </c>
      <c r="E86" s="3">
        <f t="shared" si="10"/>
        <v>20.652877119988226</v>
      </c>
      <c r="F86" s="5">
        <f t="shared" si="11"/>
        <v>0.15347406927404011</v>
      </c>
      <c r="G86" s="5">
        <f t="shared" si="12"/>
        <v>0.30694813854808023</v>
      </c>
      <c r="H86" s="5">
        <f t="shared" si="13"/>
        <v>0.46042220782212034</v>
      </c>
      <c r="I86" s="5">
        <f t="shared" si="14"/>
        <v>0.61389627709616046</v>
      </c>
      <c r="J86" s="5">
        <f t="shared" si="15"/>
        <v>0.76737034637020063</v>
      </c>
    </row>
    <row r="87" spans="2:10" x14ac:dyDescent="0.15">
      <c r="B87" s="2">
        <v>85</v>
      </c>
      <c r="C87" s="2">
        <f t="shared" si="8"/>
        <v>86</v>
      </c>
      <c r="D87" s="3">
        <f t="shared" si="9"/>
        <v>8.9954099406308323</v>
      </c>
      <c r="E87" s="3">
        <f t="shared" si="10"/>
        <v>20.774009402776986</v>
      </c>
      <c r="F87" s="5">
        <f t="shared" si="11"/>
        <v>0.15258966719811606</v>
      </c>
      <c r="G87" s="5">
        <f t="shared" si="12"/>
        <v>0.30517933439623213</v>
      </c>
      <c r="H87" s="5">
        <f t="shared" si="13"/>
        <v>0.45776900159434819</v>
      </c>
      <c r="I87" s="5">
        <f t="shared" si="14"/>
        <v>0.61035866879246425</v>
      </c>
      <c r="J87" s="5">
        <f t="shared" si="15"/>
        <v>0.76294833599058032</v>
      </c>
    </row>
    <row r="88" spans="2:10" x14ac:dyDescent="0.15">
      <c r="B88" s="2">
        <v>86</v>
      </c>
      <c r="C88" s="2">
        <f t="shared" si="8"/>
        <v>87</v>
      </c>
      <c r="D88" s="3">
        <f t="shared" si="9"/>
        <v>9.0475576814961514</v>
      </c>
      <c r="E88" s="3">
        <f t="shared" si="10"/>
        <v>20.894439451681876</v>
      </c>
      <c r="F88" s="5">
        <f t="shared" si="11"/>
        <v>0.15172037815556125</v>
      </c>
      <c r="G88" s="5">
        <f t="shared" si="12"/>
        <v>0.30344075631112249</v>
      </c>
      <c r="H88" s="5">
        <f t="shared" si="13"/>
        <v>0.45516113446668371</v>
      </c>
      <c r="I88" s="5">
        <f t="shared" si="14"/>
        <v>0.60688151262224499</v>
      </c>
      <c r="J88" s="5">
        <f t="shared" si="15"/>
        <v>0.75860189077780626</v>
      </c>
    </row>
    <row r="89" spans="2:10" x14ac:dyDescent="0.15">
      <c r="B89" s="2">
        <v>87</v>
      </c>
      <c r="C89" s="2">
        <f t="shared" si="8"/>
        <v>88</v>
      </c>
      <c r="D89" s="3">
        <f t="shared" si="9"/>
        <v>9.0994065740574541</v>
      </c>
      <c r="E89" s="3">
        <f t="shared" si="10"/>
        <v>21.014179339991685</v>
      </c>
      <c r="F89" s="5">
        <f t="shared" si="11"/>
        <v>0.15086577662135467</v>
      </c>
      <c r="G89" s="5">
        <f t="shared" si="12"/>
        <v>0.30173155324270934</v>
      </c>
      <c r="H89" s="5">
        <f t="shared" si="13"/>
        <v>0.45259732986406398</v>
      </c>
      <c r="I89" s="5">
        <f t="shared" si="14"/>
        <v>0.60346310648541868</v>
      </c>
      <c r="J89" s="5">
        <f t="shared" si="15"/>
        <v>0.75432888310677337</v>
      </c>
    </row>
    <row r="90" spans="2:10" x14ac:dyDescent="0.15">
      <c r="B90" s="2">
        <v>88</v>
      </c>
      <c r="C90" s="2">
        <f t="shared" si="8"/>
        <v>89</v>
      </c>
      <c r="D90" s="3">
        <f t="shared" si="9"/>
        <v>9.1509616980949051</v>
      </c>
      <c r="E90" s="3">
        <f t="shared" si="10"/>
        <v>21.133240798956191</v>
      </c>
      <c r="F90" s="5">
        <f t="shared" si="11"/>
        <v>0.15002545365507758</v>
      </c>
      <c r="G90" s="5">
        <f t="shared" si="12"/>
        <v>0.30005090731015516</v>
      </c>
      <c r="H90" s="5">
        <f t="shared" si="13"/>
        <v>0.45007636096523274</v>
      </c>
      <c r="I90" s="5">
        <f t="shared" si="14"/>
        <v>0.60010181462031031</v>
      </c>
      <c r="J90" s="5">
        <f t="shared" si="15"/>
        <v>0.75012726827538789</v>
      </c>
    </row>
    <row r="91" spans="2:10" x14ac:dyDescent="0.15">
      <c r="B91" s="2">
        <v>89</v>
      </c>
      <c r="C91" s="2">
        <f t="shared" si="8"/>
        <v>90</v>
      </c>
      <c r="D91" s="3">
        <f t="shared" si="9"/>
        <v>9.202227991089984</v>
      </c>
      <c r="E91" s="3">
        <f t="shared" si="10"/>
        <v>21.251635231200442</v>
      </c>
      <c r="F91" s="5">
        <f t="shared" si="11"/>
        <v>0.14919901607912017</v>
      </c>
      <c r="G91" s="5">
        <f t="shared" si="12"/>
        <v>0.29839803215824034</v>
      </c>
      <c r="H91" s="5">
        <f t="shared" si="13"/>
        <v>0.44759704823736052</v>
      </c>
      <c r="I91" s="5">
        <f t="shared" si="14"/>
        <v>0.59679606431648069</v>
      </c>
      <c r="J91" s="5">
        <f t="shared" si="15"/>
        <v>0.74599508039560081</v>
      </c>
    </row>
    <row r="92" spans="2:10" x14ac:dyDescent="0.15">
      <c r="B92" s="2">
        <v>90</v>
      </c>
      <c r="C92" s="2">
        <f t="shared" si="8"/>
        <v>91</v>
      </c>
      <c r="D92" s="3">
        <f t="shared" si="9"/>
        <v>9.2532102537443723</v>
      </c>
      <c r="E92" s="3">
        <f t="shared" si="10"/>
        <v>21.369373723470073</v>
      </c>
      <c r="F92" s="5">
        <f t="shared" si="11"/>
        <v>0.14838608570611139</v>
      </c>
      <c r="G92" s="5">
        <f t="shared" si="12"/>
        <v>0.29677217141222278</v>
      </c>
      <c r="H92" s="5">
        <f t="shared" si="13"/>
        <v>0.44515825711833418</v>
      </c>
      <c r="I92" s="5">
        <f t="shared" si="14"/>
        <v>0.59354434282444557</v>
      </c>
      <c r="J92" s="5">
        <f t="shared" si="15"/>
        <v>0.74193042853055702</v>
      </c>
    </row>
    <row r="93" spans="2:10" x14ac:dyDescent="0.15">
      <c r="B93" s="2">
        <v>91</v>
      </c>
      <c r="C93" s="2">
        <f t="shared" si="8"/>
        <v>92</v>
      </c>
      <c r="D93" s="3">
        <f t="shared" si="9"/>
        <v>9.3039131552266756</v>
      </c>
      <c r="E93" s="3">
        <f t="shared" si="10"/>
        <v>21.486467058748087</v>
      </c>
      <c r="F93" s="5">
        <f t="shared" si="11"/>
        <v>0.14758629861212219</v>
      </c>
      <c r="G93" s="5">
        <f t="shared" si="12"/>
        <v>0.29517259722424438</v>
      </c>
      <c r="H93" s="5">
        <f t="shared" si="13"/>
        <v>0.44275889583636657</v>
      </c>
      <c r="I93" s="5">
        <f t="shared" si="14"/>
        <v>0.59034519444848876</v>
      </c>
      <c r="J93" s="5">
        <f t="shared" si="15"/>
        <v>0.7379314930606109</v>
      </c>
    </row>
    <row r="94" spans="2:10" x14ac:dyDescent="0.15">
      <c r="B94" s="2">
        <v>92</v>
      </c>
      <c r="C94" s="2">
        <f t="shared" si="8"/>
        <v>93</v>
      </c>
      <c r="D94" s="3">
        <f t="shared" si="9"/>
        <v>9.3543412381631654</v>
      </c>
      <c r="E94" s="3">
        <f t="shared" si="10"/>
        <v>21.602925727780484</v>
      </c>
      <c r="F94" s="5">
        <f t="shared" si="11"/>
        <v>0.14679930445247516</v>
      </c>
      <c r="G94" s="5">
        <f t="shared" si="12"/>
        <v>0.29359860890495032</v>
      </c>
      <c r="H94" s="5">
        <f t="shared" si="13"/>
        <v>0.44039791335742551</v>
      </c>
      <c r="I94" s="5">
        <f t="shared" si="14"/>
        <v>0.58719721780990064</v>
      </c>
      <c r="J94" s="5">
        <f t="shared" si="15"/>
        <v>0.73399652226237577</v>
      </c>
    </row>
    <row r="95" spans="2:10" x14ac:dyDescent="0.15">
      <c r="B95" s="2">
        <v>93</v>
      </c>
      <c r="C95" s="2">
        <f t="shared" si="8"/>
        <v>94</v>
      </c>
      <c r="D95" s="3">
        <f t="shared" si="9"/>
        <v>9.4044989233876795</v>
      </c>
      <c r="E95" s="3">
        <f t="shared" si="10"/>
        <v>21.718759940045686</v>
      </c>
      <c r="F95" s="5">
        <f t="shared" si="11"/>
        <v>0.14602476581723747</v>
      </c>
      <c r="G95" s="5">
        <f t="shared" si="12"/>
        <v>0.29204953163447495</v>
      </c>
      <c r="H95" s="5">
        <f t="shared" si="13"/>
        <v>0.43807429745171245</v>
      </c>
      <c r="I95" s="5">
        <f t="shared" si="14"/>
        <v>0.58409906326894989</v>
      </c>
      <c r="J95" s="5">
        <f t="shared" si="15"/>
        <v>0.73012382908618734</v>
      </c>
    </row>
    <row r="96" spans="2:10" x14ac:dyDescent="0.15">
      <c r="B96" s="2">
        <v>94</v>
      </c>
      <c r="C96" s="2">
        <f t="shared" si="8"/>
        <v>95</v>
      </c>
      <c r="D96" s="3">
        <f t="shared" si="9"/>
        <v>9.4543905144646931</v>
      </c>
      <c r="E96" s="3">
        <f t="shared" si="10"/>
        <v>21.833979634200137</v>
      </c>
      <c r="F96" s="5">
        <f t="shared" si="11"/>
        <v>0.14526235762370779</v>
      </c>
      <c r="G96" s="5">
        <f t="shared" si="12"/>
        <v>0.29052471524741558</v>
      </c>
      <c r="H96" s="5">
        <f t="shared" si="13"/>
        <v>0.43578707287112339</v>
      </c>
      <c r="I96" s="5">
        <f t="shared" si="14"/>
        <v>0.58104943049483115</v>
      </c>
      <c r="J96" s="5">
        <f t="shared" si="15"/>
        <v>0.72631178811853891</v>
      </c>
    </row>
    <row r="97" spans="2:10" x14ac:dyDescent="0.15">
      <c r="B97" s="2">
        <v>95</v>
      </c>
      <c r="C97" s="2">
        <f t="shared" si="8"/>
        <v>96</v>
      </c>
      <c r="D97" s="3">
        <f t="shared" si="9"/>
        <v>9.5040202019987294</v>
      </c>
      <c r="E97" s="3">
        <f t="shared" si="10"/>
        <v>21.948594488030427</v>
      </c>
      <c r="F97" s="5">
        <f t="shared" si="11"/>
        <v>0.14451176654341186</v>
      </c>
      <c r="G97" s="5">
        <f t="shared" si="12"/>
        <v>0.28902353308682371</v>
      </c>
      <c r="H97" s="5">
        <f t="shared" si="13"/>
        <v>0.43353529963023557</v>
      </c>
      <c r="I97" s="5">
        <f t="shared" si="14"/>
        <v>0.57804706617364743</v>
      </c>
      <c r="J97" s="5">
        <f t="shared" si="15"/>
        <v>0.72255883271705934</v>
      </c>
    </row>
    <row r="98" spans="2:10" x14ac:dyDescent="0.15">
      <c r="B98" s="2">
        <v>96</v>
      </c>
      <c r="C98" s="2">
        <f t="shared" si="8"/>
        <v>97</v>
      </c>
      <c r="D98" s="3">
        <f t="shared" si="9"/>
        <v>9.5533920677422213</v>
      </c>
      <c r="E98" s="3">
        <f t="shared" si="10"/>
        <v>22.062613927940024</v>
      </c>
      <c r="F98" s="5">
        <f t="shared" si="11"/>
        <v>0.14377269046131677</v>
      </c>
      <c r="G98" s="5">
        <f t="shared" si="12"/>
        <v>0.28754538092263354</v>
      </c>
      <c r="H98" s="5">
        <f t="shared" si="13"/>
        <v>0.43131807138395029</v>
      </c>
      <c r="I98" s="5">
        <f t="shared" si="14"/>
        <v>0.57509076184526708</v>
      </c>
      <c r="J98" s="5">
        <f t="shared" si="15"/>
        <v>0.71886345230658388</v>
      </c>
    </row>
    <row r="99" spans="2:10" x14ac:dyDescent="0.15">
      <c r="B99" s="2">
        <v>97</v>
      </c>
      <c r="C99" s="2">
        <f t="shared" si="8"/>
        <v>98</v>
      </c>
      <c r="D99" s="3">
        <f t="shared" si="9"/>
        <v>9.6025100885133146</v>
      </c>
      <c r="E99" s="3">
        <f t="shared" si="10"/>
        <v>22.176047137997035</v>
      </c>
      <c r="F99" s="5">
        <f t="shared" si="11"/>
        <v>0.14304483796514234</v>
      </c>
      <c r="G99" s="5">
        <f t="shared" si="12"/>
        <v>0.28608967593028467</v>
      </c>
      <c r="H99" s="5">
        <f t="shared" si="13"/>
        <v>0.42913451389542701</v>
      </c>
      <c r="I99" s="5">
        <f t="shared" si="14"/>
        <v>0.57217935186056934</v>
      </c>
      <c r="J99" s="5">
        <f t="shared" si="15"/>
        <v>0.71522418982571168</v>
      </c>
    </row>
    <row r="100" spans="2:10" x14ac:dyDescent="0.15">
      <c r="B100" s="2">
        <v>98</v>
      </c>
      <c r="C100" s="2">
        <f t="shared" si="8"/>
        <v>99</v>
      </c>
      <c r="D100" s="3">
        <f t="shared" si="9"/>
        <v>9.6513781399342129</v>
      </c>
      <c r="E100" s="3">
        <f t="shared" si="10"/>
        <v>22.288903068567549</v>
      </c>
      <c r="F100" s="5">
        <f t="shared" si="11"/>
        <v>0.14232792786281084</v>
      </c>
      <c r="G100" s="5">
        <f t="shared" si="12"/>
        <v>0.28465585572562169</v>
      </c>
      <c r="H100" s="5">
        <f t="shared" si="13"/>
        <v>0.42698378358843253</v>
      </c>
      <c r="I100" s="5">
        <f t="shared" si="14"/>
        <v>0.56931171145124337</v>
      </c>
      <c r="J100" s="5">
        <f t="shared" si="15"/>
        <v>0.71163963931405427</v>
      </c>
    </row>
    <row r="101" spans="2:10" x14ac:dyDescent="0.15">
      <c r="B101" s="2">
        <v>99</v>
      </c>
      <c r="C101" s="2">
        <f t="shared" si="8"/>
        <v>100</v>
      </c>
      <c r="D101" s="3">
        <f t="shared" si="9"/>
        <v>9.6999999999999993</v>
      </c>
      <c r="E101" s="3">
        <f t="shared" si="10"/>
        <v>22.401190444557475</v>
      </c>
      <c r="F101" s="5">
        <f t="shared" si="11"/>
        <v>0.14162168872622238</v>
      </c>
      <c r="G101" s="5">
        <f t="shared" si="12"/>
        <v>0.28324337745244477</v>
      </c>
      <c r="H101" s="5">
        <f t="shared" si="13"/>
        <v>0.42486506617866715</v>
      </c>
      <c r="I101" s="5">
        <f t="shared" si="14"/>
        <v>0.56648675490488953</v>
      </c>
      <c r="J101" s="5">
        <f t="shared" si="15"/>
        <v>0.70810844363111192</v>
      </c>
    </row>
    <row r="102" spans="2:10" x14ac:dyDescent="0.15">
      <c r="B102" s="2">
        <v>100</v>
      </c>
      <c r="C102" s="2">
        <f t="shared" si="8"/>
        <v>101</v>
      </c>
      <c r="D102" s="3">
        <f t="shared" si="9"/>
        <v>9.7483793524872624</v>
      </c>
      <c r="E102" s="3">
        <f t="shared" si="10"/>
        <v>22.512917773284443</v>
      </c>
      <c r="F102" s="5">
        <f t="shared" si="11"/>
        <v>0.14092585845967326</v>
      </c>
      <c r="G102" s="5">
        <f t="shared" si="12"/>
        <v>0.28185171691934652</v>
      </c>
      <c r="H102" s="5">
        <f t="shared" si="13"/>
        <v>0.42277757537901978</v>
      </c>
      <c r="I102" s="5">
        <f t="shared" si="14"/>
        <v>0.56370343383869304</v>
      </c>
      <c r="J102" s="5">
        <f t="shared" si="15"/>
        <v>0.70462929229836635</v>
      </c>
    </row>
    <row r="103" spans="2:10" x14ac:dyDescent="0.15">
      <c r="B103"/>
      <c r="C103"/>
      <c r="D103"/>
      <c r="E103"/>
      <c r="F103" s="7"/>
      <c r="G103" s="7"/>
      <c r="H103" s="7"/>
      <c r="I103" s="7"/>
      <c r="J103" s="7"/>
    </row>
    <row r="104" spans="2:10" x14ac:dyDescent="0.15">
      <c r="B104"/>
      <c r="C104"/>
      <c r="D104"/>
      <c r="E104"/>
      <c r="F104" s="7"/>
      <c r="G104" s="7"/>
      <c r="H104" s="7"/>
      <c r="I104" s="7"/>
      <c r="J104" s="7"/>
    </row>
    <row r="105" spans="2:10" x14ac:dyDescent="0.15">
      <c r="B105"/>
      <c r="C105"/>
      <c r="D105"/>
      <c r="E105"/>
      <c r="F105" s="7"/>
      <c r="G105" s="7"/>
      <c r="H105" s="7"/>
      <c r="I105" s="7"/>
      <c r="J105" s="7"/>
    </row>
    <row r="106" spans="2:10" x14ac:dyDescent="0.15">
      <c r="B106"/>
      <c r="C106"/>
      <c r="D106"/>
      <c r="E106"/>
      <c r="F106" s="7"/>
      <c r="G106" s="7"/>
      <c r="H106" s="7"/>
      <c r="I106" s="7"/>
      <c r="J106" s="7"/>
    </row>
    <row r="107" spans="2:10" x14ac:dyDescent="0.15">
      <c r="B107"/>
      <c r="C107"/>
      <c r="D107"/>
      <c r="E107"/>
      <c r="F107" s="7"/>
      <c r="G107" s="7"/>
      <c r="H107" s="7"/>
      <c r="I107" s="7"/>
      <c r="J107" s="7"/>
    </row>
    <row r="108" spans="2:10" x14ac:dyDescent="0.15">
      <c r="B108"/>
      <c r="C108"/>
      <c r="D108"/>
      <c r="E108"/>
      <c r="F108" s="7"/>
      <c r="G108" s="7"/>
      <c r="H108" s="7"/>
      <c r="I108" s="7"/>
      <c r="J108" s="7"/>
    </row>
    <row r="109" spans="2:10" x14ac:dyDescent="0.15">
      <c r="B109"/>
      <c r="C109"/>
      <c r="D109"/>
      <c r="E109"/>
      <c r="F109" s="7"/>
      <c r="G109" s="7"/>
      <c r="H109" s="7"/>
      <c r="I109" s="7"/>
      <c r="J109" s="7"/>
    </row>
    <row r="110" spans="2:10" x14ac:dyDescent="0.15">
      <c r="B110"/>
      <c r="C110"/>
      <c r="D110"/>
      <c r="E110"/>
      <c r="F110" s="7"/>
      <c r="G110" s="7"/>
      <c r="H110" s="7"/>
      <c r="I110" s="7"/>
      <c r="J110" s="7"/>
    </row>
    <row r="111" spans="2:10" x14ac:dyDescent="0.15">
      <c r="B111"/>
      <c r="C111"/>
      <c r="D111"/>
      <c r="E111"/>
      <c r="F111" s="7"/>
      <c r="G111" s="7"/>
      <c r="H111" s="7"/>
      <c r="I111" s="7"/>
      <c r="J111" s="7"/>
    </row>
    <row r="112" spans="2:10" x14ac:dyDescent="0.15">
      <c r="B112"/>
      <c r="C112"/>
      <c r="D112"/>
      <c r="E112"/>
      <c r="F112" s="7"/>
      <c r="G112" s="7"/>
      <c r="H112" s="7"/>
      <c r="I112" s="7"/>
      <c r="J112" s="7"/>
    </row>
    <row r="113" spans="2:10" x14ac:dyDescent="0.15">
      <c r="B113"/>
      <c r="C113"/>
      <c r="D113"/>
      <c r="E113"/>
      <c r="F113" s="7"/>
      <c r="G113" s="7"/>
      <c r="H113" s="7"/>
      <c r="I113" s="7"/>
      <c r="J113" s="7"/>
    </row>
    <row r="114" spans="2:10" x14ac:dyDescent="0.15">
      <c r="B114"/>
      <c r="C114"/>
      <c r="D114"/>
      <c r="E114"/>
      <c r="F114" s="7"/>
      <c r="G114" s="7"/>
      <c r="H114" s="7"/>
      <c r="I114" s="7"/>
      <c r="J114" s="7"/>
    </row>
    <row r="115" spans="2:10" x14ac:dyDescent="0.15">
      <c r="B115"/>
      <c r="C115"/>
      <c r="D115"/>
      <c r="E115"/>
      <c r="F115" s="7"/>
      <c r="G115" s="7"/>
      <c r="H115" s="7"/>
      <c r="I115" s="7"/>
      <c r="J115" s="7"/>
    </row>
    <row r="116" spans="2:10" x14ac:dyDescent="0.15">
      <c r="B116"/>
      <c r="C116"/>
      <c r="D116"/>
      <c r="E116"/>
      <c r="F116" s="7"/>
      <c r="G116" s="7"/>
      <c r="H116" s="7"/>
      <c r="I116" s="7"/>
      <c r="J116" s="7"/>
    </row>
    <row r="117" spans="2:10" x14ac:dyDescent="0.15">
      <c r="B117"/>
      <c r="C117"/>
      <c r="D117"/>
      <c r="E117"/>
      <c r="F117" s="7"/>
      <c r="G117" s="7"/>
      <c r="H117" s="7"/>
      <c r="I117" s="7"/>
      <c r="J117" s="7"/>
    </row>
    <row r="118" spans="2:10" x14ac:dyDescent="0.15">
      <c r="B118"/>
      <c r="C118"/>
      <c r="D118"/>
      <c r="E118"/>
      <c r="F118" s="7"/>
      <c r="G118" s="7"/>
      <c r="H118" s="7"/>
      <c r="I118" s="7"/>
      <c r="J118" s="7"/>
    </row>
    <row r="119" spans="2:10" x14ac:dyDescent="0.15">
      <c r="B119"/>
      <c r="C119"/>
      <c r="D119"/>
      <c r="E119"/>
      <c r="F119" s="7"/>
      <c r="G119" s="7"/>
      <c r="H119" s="7"/>
      <c r="I119" s="7"/>
      <c r="J119" s="7"/>
    </row>
    <row r="120" spans="2:10" x14ac:dyDescent="0.15">
      <c r="B120"/>
      <c r="C120"/>
      <c r="D120"/>
      <c r="E120"/>
      <c r="F120" s="7"/>
      <c r="G120" s="7"/>
      <c r="H120" s="7"/>
      <c r="I120" s="7"/>
      <c r="J120" s="7"/>
    </row>
    <row r="121" spans="2:10" x14ac:dyDescent="0.15">
      <c r="B121"/>
      <c r="C121"/>
      <c r="D121"/>
      <c r="E121"/>
      <c r="F121" s="7"/>
      <c r="G121" s="7"/>
      <c r="H121" s="7"/>
      <c r="I121" s="7"/>
      <c r="J121" s="7"/>
    </row>
    <row r="122" spans="2:10" x14ac:dyDescent="0.15">
      <c r="B122"/>
      <c r="C122"/>
      <c r="D122"/>
      <c r="E122"/>
      <c r="F122" s="7"/>
      <c r="G122" s="7"/>
      <c r="H122" s="7"/>
      <c r="I122" s="7"/>
      <c r="J122" s="7"/>
    </row>
    <row r="123" spans="2:10" x14ac:dyDescent="0.15">
      <c r="B123"/>
      <c r="C123"/>
      <c r="D123"/>
      <c r="E123"/>
      <c r="F123" s="7"/>
      <c r="G123" s="7"/>
      <c r="H123" s="7"/>
      <c r="I123" s="7"/>
      <c r="J123" s="7"/>
    </row>
    <row r="124" spans="2:10" x14ac:dyDescent="0.15">
      <c r="B124"/>
      <c r="C124"/>
      <c r="D124"/>
      <c r="E124"/>
      <c r="F124" s="7"/>
      <c r="G124" s="7"/>
      <c r="H124" s="7"/>
      <c r="I124" s="7"/>
      <c r="J124" s="7"/>
    </row>
    <row r="125" spans="2:10" x14ac:dyDescent="0.15">
      <c r="B125"/>
      <c r="C125"/>
      <c r="D125"/>
      <c r="E125"/>
      <c r="F125" s="7"/>
      <c r="G125" s="7"/>
      <c r="H125" s="7"/>
      <c r="I125" s="7"/>
      <c r="J125" s="7"/>
    </row>
    <row r="126" spans="2:10" x14ac:dyDescent="0.15">
      <c r="B126"/>
      <c r="C126"/>
      <c r="D126"/>
      <c r="E126"/>
      <c r="F126" s="7"/>
      <c r="G126" s="7"/>
      <c r="H126" s="7"/>
      <c r="I126" s="7"/>
      <c r="J126" s="7"/>
    </row>
    <row r="127" spans="2:10" x14ac:dyDescent="0.15">
      <c r="B127"/>
      <c r="C127"/>
      <c r="D127"/>
      <c r="E127"/>
      <c r="F127" s="7"/>
      <c r="G127" s="7"/>
      <c r="H127" s="7"/>
      <c r="I127" s="7"/>
      <c r="J127" s="7"/>
    </row>
    <row r="128" spans="2:10" x14ac:dyDescent="0.15">
      <c r="B128"/>
      <c r="C128"/>
      <c r="D128"/>
      <c r="E128"/>
      <c r="F128" s="7"/>
      <c r="G128" s="7"/>
      <c r="H128" s="7"/>
      <c r="I128" s="7"/>
      <c r="J128" s="7"/>
    </row>
    <row r="129" spans="2:10" x14ac:dyDescent="0.15">
      <c r="B129"/>
      <c r="C129"/>
      <c r="D129"/>
      <c r="E129"/>
      <c r="F129" s="7"/>
      <c r="G129" s="7"/>
      <c r="H129" s="7"/>
      <c r="I129" s="7"/>
      <c r="J129" s="7"/>
    </row>
    <row r="130" spans="2:10" x14ac:dyDescent="0.15">
      <c r="B130"/>
      <c r="C130"/>
      <c r="D130"/>
      <c r="E130"/>
      <c r="F130" s="7"/>
      <c r="G130" s="7"/>
      <c r="H130" s="7"/>
      <c r="I130" s="7"/>
      <c r="J130" s="7"/>
    </row>
    <row r="131" spans="2:10" x14ac:dyDescent="0.15">
      <c r="B131"/>
      <c r="C131"/>
      <c r="D131"/>
      <c r="E131"/>
      <c r="F131" s="7"/>
      <c r="G131" s="7"/>
      <c r="H131" s="7"/>
      <c r="I131" s="7"/>
      <c r="J131" s="7"/>
    </row>
    <row r="132" spans="2:10" x14ac:dyDescent="0.15">
      <c r="B132"/>
      <c r="C132"/>
      <c r="D132"/>
      <c r="E132"/>
      <c r="F132" s="7"/>
      <c r="G132" s="7"/>
      <c r="H132" s="7"/>
      <c r="I132" s="7"/>
      <c r="J132" s="7"/>
    </row>
    <row r="133" spans="2:10" x14ac:dyDescent="0.15">
      <c r="B133"/>
      <c r="C133"/>
      <c r="D133"/>
      <c r="E133"/>
      <c r="F133" s="7"/>
      <c r="G133" s="7"/>
      <c r="H133" s="7"/>
      <c r="I133" s="7"/>
      <c r="J133" s="7"/>
    </row>
    <row r="134" spans="2:10" x14ac:dyDescent="0.15">
      <c r="B134"/>
      <c r="C134"/>
      <c r="D134"/>
      <c r="E134"/>
      <c r="F134" s="7"/>
      <c r="G134" s="7"/>
      <c r="H134" s="7"/>
      <c r="I134" s="7"/>
      <c r="J134" s="7"/>
    </row>
    <row r="135" spans="2:10" x14ac:dyDescent="0.15">
      <c r="B135"/>
      <c r="C135"/>
      <c r="D135"/>
      <c r="E135"/>
      <c r="F135" s="7"/>
      <c r="G135" s="7"/>
      <c r="H135" s="7"/>
      <c r="I135" s="7"/>
      <c r="J135" s="7"/>
    </row>
    <row r="136" spans="2:10" x14ac:dyDescent="0.15">
      <c r="B136"/>
      <c r="C136"/>
      <c r="D136"/>
      <c r="E136"/>
      <c r="F136" s="7"/>
      <c r="G136" s="7"/>
      <c r="H136" s="7"/>
      <c r="I136" s="7"/>
      <c r="J136" s="7"/>
    </row>
    <row r="137" spans="2:10" x14ac:dyDescent="0.15">
      <c r="B137"/>
      <c r="C137"/>
      <c r="D137"/>
      <c r="E137"/>
      <c r="F137" s="7"/>
      <c r="G137" s="7"/>
      <c r="H137" s="7"/>
      <c r="I137" s="7"/>
      <c r="J137" s="7"/>
    </row>
    <row r="138" spans="2:10" x14ac:dyDescent="0.15">
      <c r="B138"/>
      <c r="C138"/>
      <c r="D138"/>
      <c r="E138"/>
      <c r="F138" s="7"/>
      <c r="G138" s="7"/>
      <c r="H138" s="7"/>
      <c r="I138" s="7"/>
      <c r="J138" s="7"/>
    </row>
    <row r="139" spans="2:10" x14ac:dyDescent="0.15">
      <c r="B139"/>
      <c r="C139"/>
      <c r="D139"/>
      <c r="E139"/>
      <c r="F139" s="7"/>
      <c r="G139" s="7"/>
      <c r="H139" s="7"/>
      <c r="I139" s="7"/>
      <c r="J139" s="7"/>
    </row>
    <row r="140" spans="2:10" x14ac:dyDescent="0.15">
      <c r="B140"/>
      <c r="C140"/>
      <c r="D140"/>
      <c r="E140"/>
      <c r="F140" s="7"/>
      <c r="G140" s="7"/>
      <c r="H140" s="7"/>
      <c r="I140" s="7"/>
      <c r="J140" s="7"/>
    </row>
    <row r="141" spans="2:10" x14ac:dyDescent="0.15">
      <c r="B141"/>
      <c r="C141"/>
      <c r="D141"/>
      <c r="E141"/>
      <c r="F141" s="7"/>
      <c r="G141" s="7"/>
      <c r="H141" s="7"/>
      <c r="I141" s="7"/>
      <c r="J141" s="7"/>
    </row>
    <row r="142" spans="2:10" x14ac:dyDescent="0.15">
      <c r="B142"/>
      <c r="C142"/>
      <c r="D142"/>
      <c r="E142"/>
      <c r="F142" s="7"/>
      <c r="G142" s="7"/>
      <c r="H142" s="7"/>
      <c r="I142" s="7"/>
      <c r="J142" s="7"/>
    </row>
    <row r="143" spans="2:10" x14ac:dyDescent="0.15">
      <c r="B143"/>
      <c r="C143"/>
      <c r="D143"/>
      <c r="E143"/>
      <c r="F143" s="7"/>
      <c r="G143" s="7"/>
      <c r="H143" s="7"/>
      <c r="I143" s="7"/>
      <c r="J143" s="7"/>
    </row>
    <row r="144" spans="2:10" x14ac:dyDescent="0.15">
      <c r="B144"/>
      <c r="C144"/>
      <c r="D144"/>
      <c r="E144"/>
      <c r="F144" s="7"/>
      <c r="G144" s="7"/>
      <c r="H144" s="7"/>
      <c r="I144" s="7"/>
      <c r="J144" s="7"/>
    </row>
    <row r="145" spans="2:10" x14ac:dyDescent="0.15">
      <c r="B145"/>
      <c r="C145"/>
      <c r="D145"/>
      <c r="E145"/>
      <c r="F145" s="7"/>
      <c r="G145" s="7"/>
      <c r="H145" s="7"/>
      <c r="I145" s="7"/>
      <c r="J145" s="7"/>
    </row>
    <row r="146" spans="2:10" x14ac:dyDescent="0.15">
      <c r="B146"/>
      <c r="C146"/>
      <c r="D146"/>
      <c r="E146"/>
      <c r="F146" s="7"/>
      <c r="G146" s="7"/>
      <c r="H146" s="7"/>
      <c r="I146" s="7"/>
      <c r="J146" s="7"/>
    </row>
    <row r="147" spans="2:10" x14ac:dyDescent="0.15">
      <c r="B147"/>
      <c r="C147"/>
      <c r="D147"/>
      <c r="E147"/>
      <c r="F147" s="7"/>
      <c r="G147" s="7"/>
      <c r="H147" s="7"/>
      <c r="I147" s="7"/>
      <c r="J147" s="7"/>
    </row>
    <row r="148" spans="2:10" x14ac:dyDescent="0.15">
      <c r="B148"/>
      <c r="C148"/>
      <c r="D148"/>
      <c r="E148"/>
      <c r="F148" s="7"/>
      <c r="G148" s="7"/>
      <c r="H148" s="7"/>
      <c r="I148" s="7"/>
      <c r="J148" s="7"/>
    </row>
    <row r="149" spans="2:10" x14ac:dyDescent="0.15">
      <c r="B149"/>
      <c r="C149"/>
      <c r="D149"/>
      <c r="E149"/>
      <c r="F149" s="7"/>
      <c r="G149" s="7"/>
      <c r="H149" s="7"/>
      <c r="I149" s="7"/>
      <c r="J149" s="7"/>
    </row>
    <row r="150" spans="2:10" x14ac:dyDescent="0.15">
      <c r="B150"/>
      <c r="C150"/>
      <c r="D150"/>
      <c r="E150"/>
      <c r="F150" s="7"/>
      <c r="G150" s="7"/>
      <c r="H150" s="7"/>
      <c r="I150" s="7"/>
      <c r="J150" s="7"/>
    </row>
    <row r="151" spans="2:10" x14ac:dyDescent="0.15">
      <c r="B151"/>
      <c r="C151"/>
      <c r="D151"/>
      <c r="E151"/>
      <c r="F151" s="7"/>
      <c r="G151" s="7"/>
      <c r="H151" s="7"/>
      <c r="I151" s="7"/>
      <c r="J151" s="7"/>
    </row>
    <row r="152" spans="2:10" x14ac:dyDescent="0.15">
      <c r="B152"/>
      <c r="C152"/>
      <c r="D152"/>
      <c r="E152"/>
      <c r="F152" s="7"/>
      <c r="G152" s="7"/>
      <c r="H152" s="7"/>
      <c r="I152" s="7"/>
      <c r="J152" s="7"/>
    </row>
    <row r="153" spans="2:10" x14ac:dyDescent="0.15">
      <c r="B153"/>
      <c r="C153"/>
      <c r="D153"/>
      <c r="E153"/>
      <c r="F153" s="7"/>
      <c r="G153" s="7"/>
      <c r="H153" s="7"/>
      <c r="I153" s="7"/>
      <c r="J153" s="7"/>
    </row>
    <row r="154" spans="2:10" x14ac:dyDescent="0.15">
      <c r="B154"/>
      <c r="C154"/>
      <c r="D154"/>
      <c r="E154"/>
      <c r="F154" s="7"/>
      <c r="G154" s="7"/>
      <c r="H154" s="7"/>
      <c r="I154" s="7"/>
      <c r="J154" s="7"/>
    </row>
    <row r="155" spans="2:10" x14ac:dyDescent="0.15">
      <c r="B155"/>
      <c r="C155"/>
      <c r="D155"/>
      <c r="E155"/>
      <c r="F155" s="7"/>
      <c r="G155" s="7"/>
      <c r="H155" s="7"/>
      <c r="I155" s="7"/>
      <c r="J155" s="7"/>
    </row>
    <row r="156" spans="2:10" x14ac:dyDescent="0.15">
      <c r="B156"/>
      <c r="C156"/>
      <c r="D156"/>
      <c r="E156"/>
      <c r="F156" s="7"/>
      <c r="G156" s="7"/>
      <c r="H156" s="7"/>
      <c r="I156" s="7"/>
      <c r="J156" s="7"/>
    </row>
    <row r="157" spans="2:10" x14ac:dyDescent="0.15">
      <c r="B157"/>
      <c r="C157"/>
      <c r="D157"/>
      <c r="E157"/>
      <c r="F157" s="7"/>
      <c r="G157" s="7"/>
      <c r="H157" s="7"/>
      <c r="I157" s="7"/>
      <c r="J157" s="7"/>
    </row>
    <row r="158" spans="2:10" x14ac:dyDescent="0.15">
      <c r="B158"/>
      <c r="C158"/>
      <c r="D158"/>
      <c r="E158"/>
      <c r="F158" s="7"/>
      <c r="G158" s="7"/>
      <c r="H158" s="7"/>
      <c r="I158" s="7"/>
      <c r="J158" s="7"/>
    </row>
    <row r="159" spans="2:10" x14ac:dyDescent="0.15">
      <c r="B159"/>
      <c r="C159"/>
      <c r="D159"/>
      <c r="E159"/>
      <c r="F159" s="7"/>
      <c r="G159" s="7"/>
      <c r="H159" s="7"/>
      <c r="I159" s="7"/>
      <c r="J159" s="7"/>
    </row>
    <row r="160" spans="2:10" x14ac:dyDescent="0.15">
      <c r="B160"/>
      <c r="C160"/>
      <c r="D160"/>
      <c r="E160"/>
      <c r="F160" s="7"/>
      <c r="G160" s="7"/>
      <c r="H160" s="7"/>
      <c r="I160" s="7"/>
      <c r="J160" s="7"/>
    </row>
    <row r="161" spans="2:10" x14ac:dyDescent="0.15">
      <c r="B161"/>
      <c r="C161"/>
      <c r="D161"/>
      <c r="E161"/>
      <c r="F161" s="7"/>
      <c r="G161" s="7"/>
      <c r="H161" s="7"/>
      <c r="I161" s="7"/>
      <c r="J161" s="7"/>
    </row>
    <row r="162" spans="2:10" x14ac:dyDescent="0.15">
      <c r="B162"/>
      <c r="C162"/>
      <c r="D162"/>
      <c r="E162"/>
      <c r="F162" s="7"/>
      <c r="G162" s="7"/>
      <c r="H162" s="7"/>
      <c r="I162" s="7"/>
      <c r="J162" s="7"/>
    </row>
    <row r="163" spans="2:10" x14ac:dyDescent="0.15">
      <c r="B163"/>
      <c r="C163"/>
      <c r="D163"/>
      <c r="E163"/>
      <c r="F163" s="7"/>
      <c r="G163" s="7"/>
      <c r="H163" s="7"/>
      <c r="I163" s="7"/>
      <c r="J163" s="7"/>
    </row>
    <row r="164" spans="2:10" x14ac:dyDescent="0.15">
      <c r="B164"/>
      <c r="C164"/>
      <c r="D164"/>
      <c r="E164"/>
      <c r="F164" s="7"/>
      <c r="G164" s="7"/>
      <c r="H164" s="7"/>
      <c r="I164" s="7"/>
      <c r="J164" s="7"/>
    </row>
    <row r="165" spans="2:10" x14ac:dyDescent="0.15">
      <c r="B165"/>
      <c r="C165"/>
      <c r="D165"/>
      <c r="E165"/>
      <c r="F165" s="7"/>
      <c r="G165" s="7"/>
      <c r="H165" s="7"/>
      <c r="I165" s="7"/>
      <c r="J165" s="7"/>
    </row>
    <row r="166" spans="2:10" x14ac:dyDescent="0.15">
      <c r="B166"/>
      <c r="C166"/>
      <c r="D166"/>
      <c r="E166"/>
      <c r="F166" s="7"/>
      <c r="G166" s="7"/>
      <c r="H166" s="7"/>
      <c r="I166" s="7"/>
      <c r="J166" s="7"/>
    </row>
    <row r="167" spans="2:10" x14ac:dyDescent="0.15">
      <c r="B167"/>
      <c r="C167"/>
      <c r="D167"/>
      <c r="E167"/>
      <c r="F167" s="7"/>
      <c r="G167" s="7"/>
      <c r="H167" s="7"/>
      <c r="I167" s="7"/>
      <c r="J167" s="7"/>
    </row>
    <row r="168" spans="2:10" x14ac:dyDescent="0.15">
      <c r="B168"/>
      <c r="C168"/>
      <c r="D168"/>
      <c r="E168"/>
      <c r="F168" s="7"/>
      <c r="G168" s="7"/>
      <c r="H168" s="7"/>
      <c r="I168" s="7"/>
      <c r="J168" s="7"/>
    </row>
    <row r="169" spans="2:10" x14ac:dyDescent="0.15">
      <c r="B169"/>
      <c r="C169"/>
      <c r="D169"/>
      <c r="E169"/>
      <c r="F169" s="7"/>
      <c r="G169" s="7"/>
      <c r="H169" s="7"/>
      <c r="I169" s="7"/>
      <c r="J169" s="7"/>
    </row>
    <row r="170" spans="2:10" x14ac:dyDescent="0.15">
      <c r="B170"/>
      <c r="C170"/>
      <c r="D170"/>
      <c r="E170"/>
      <c r="F170" s="7"/>
      <c r="G170" s="7"/>
      <c r="H170" s="7"/>
      <c r="I170" s="7"/>
      <c r="J170" s="7"/>
    </row>
    <row r="171" spans="2:10" x14ac:dyDescent="0.15">
      <c r="B171"/>
      <c r="C171"/>
      <c r="D171"/>
      <c r="E171"/>
      <c r="F171" s="7"/>
      <c r="G171" s="7"/>
      <c r="H171" s="7"/>
      <c r="I171" s="7"/>
      <c r="J171" s="7"/>
    </row>
    <row r="172" spans="2:10" x14ac:dyDescent="0.15">
      <c r="B172"/>
      <c r="C172"/>
      <c r="D172"/>
      <c r="E172"/>
      <c r="F172" s="7"/>
      <c r="G172" s="7"/>
      <c r="H172" s="7"/>
      <c r="I172" s="7"/>
      <c r="J172" s="7"/>
    </row>
    <row r="173" spans="2:10" x14ac:dyDescent="0.15">
      <c r="B173"/>
      <c r="C173"/>
      <c r="D173"/>
      <c r="E173"/>
      <c r="F173" s="7"/>
      <c r="G173" s="7"/>
      <c r="H173" s="7"/>
      <c r="I173" s="7"/>
      <c r="J173" s="7"/>
    </row>
    <row r="174" spans="2:10" x14ac:dyDescent="0.15">
      <c r="B174"/>
      <c r="C174"/>
      <c r="D174"/>
      <c r="E174"/>
      <c r="F174" s="7"/>
      <c r="G174" s="7"/>
      <c r="H174" s="7"/>
      <c r="I174" s="7"/>
      <c r="J174" s="7"/>
    </row>
    <row r="175" spans="2:10" x14ac:dyDescent="0.15">
      <c r="B175"/>
      <c r="C175"/>
      <c r="D175"/>
      <c r="E175"/>
      <c r="F175" s="7"/>
      <c r="G175" s="7"/>
      <c r="H175" s="7"/>
      <c r="I175" s="7"/>
      <c r="J175" s="7"/>
    </row>
    <row r="176" spans="2:10" x14ac:dyDescent="0.15">
      <c r="B176"/>
      <c r="C176"/>
      <c r="D176"/>
      <c r="E176"/>
      <c r="F176" s="7"/>
      <c r="G176" s="7"/>
      <c r="H176" s="7"/>
      <c r="I176" s="7"/>
      <c r="J176" s="7"/>
    </row>
    <row r="177" spans="2:10" x14ac:dyDescent="0.15">
      <c r="B177"/>
      <c r="C177"/>
      <c r="D177"/>
      <c r="E177"/>
      <c r="F177" s="7"/>
      <c r="G177" s="7"/>
      <c r="H177" s="7"/>
      <c r="I177" s="7"/>
      <c r="J177" s="7"/>
    </row>
    <row r="178" spans="2:10" x14ac:dyDescent="0.15">
      <c r="B178"/>
      <c r="C178"/>
      <c r="D178"/>
      <c r="E178"/>
      <c r="F178" s="7"/>
      <c r="G178" s="7"/>
      <c r="H178" s="7"/>
      <c r="I178" s="7"/>
      <c r="J178" s="7"/>
    </row>
    <row r="179" spans="2:10" x14ac:dyDescent="0.15">
      <c r="B179"/>
      <c r="C179"/>
      <c r="D179"/>
      <c r="E179"/>
      <c r="F179" s="7"/>
      <c r="G179" s="7"/>
      <c r="H179" s="7"/>
      <c r="I179" s="7"/>
      <c r="J179" s="7"/>
    </row>
    <row r="180" spans="2:10" x14ac:dyDescent="0.15">
      <c r="B180"/>
      <c r="C180"/>
      <c r="D180"/>
      <c r="E180"/>
      <c r="F180" s="7"/>
      <c r="G180" s="7"/>
      <c r="H180" s="7"/>
      <c r="I180" s="7"/>
      <c r="J180" s="7"/>
    </row>
    <row r="181" spans="2:10" x14ac:dyDescent="0.15">
      <c r="B181"/>
      <c r="C181"/>
      <c r="D181"/>
      <c r="E181"/>
      <c r="F181" s="7"/>
      <c r="G181" s="7"/>
      <c r="H181" s="7"/>
      <c r="I181" s="7"/>
      <c r="J181" s="7"/>
    </row>
    <row r="182" spans="2:10" x14ac:dyDescent="0.15">
      <c r="B182"/>
      <c r="C182"/>
      <c r="D182"/>
      <c r="E182"/>
      <c r="F182" s="7"/>
      <c r="G182" s="7"/>
      <c r="H182" s="7"/>
      <c r="I182" s="7"/>
      <c r="J182" s="7"/>
    </row>
    <row r="183" spans="2:10" x14ac:dyDescent="0.15">
      <c r="B183"/>
      <c r="C183"/>
      <c r="D183"/>
      <c r="E183"/>
      <c r="F183" s="7"/>
      <c r="G183" s="7"/>
      <c r="H183" s="7"/>
      <c r="I183" s="7"/>
      <c r="J183" s="7"/>
    </row>
    <row r="184" spans="2:10" x14ac:dyDescent="0.15">
      <c r="B184"/>
      <c r="C184"/>
      <c r="D184"/>
      <c r="E184"/>
      <c r="F184" s="7"/>
      <c r="G184" s="7"/>
      <c r="H184" s="7"/>
      <c r="I184" s="7"/>
      <c r="J184" s="7"/>
    </row>
    <row r="185" spans="2:10" x14ac:dyDescent="0.15">
      <c r="B185"/>
      <c r="C185"/>
      <c r="D185"/>
      <c r="E185"/>
      <c r="F185" s="7"/>
      <c r="G185" s="7"/>
      <c r="H185" s="7"/>
      <c r="I185" s="7"/>
      <c r="J185" s="7"/>
    </row>
    <row r="186" spans="2:10" x14ac:dyDescent="0.15">
      <c r="B186"/>
      <c r="C186"/>
      <c r="D186"/>
      <c r="E186"/>
      <c r="F186" s="7"/>
      <c r="G186" s="7"/>
      <c r="H186" s="7"/>
      <c r="I186" s="7"/>
      <c r="J186" s="7"/>
    </row>
    <row r="187" spans="2:10" x14ac:dyDescent="0.15">
      <c r="B187"/>
      <c r="C187"/>
      <c r="D187"/>
      <c r="E187"/>
      <c r="F187" s="7"/>
      <c r="G187" s="7"/>
      <c r="H187" s="7"/>
      <c r="I187" s="7"/>
      <c r="J187" s="7"/>
    </row>
    <row r="188" spans="2:10" x14ac:dyDescent="0.15">
      <c r="B188"/>
      <c r="C188"/>
      <c r="D188"/>
      <c r="E188"/>
      <c r="F188" s="7"/>
      <c r="G188" s="7"/>
      <c r="H188" s="7"/>
      <c r="I188" s="7"/>
      <c r="J188" s="7"/>
    </row>
    <row r="189" spans="2:10" x14ac:dyDescent="0.15">
      <c r="B189"/>
      <c r="C189"/>
      <c r="D189"/>
      <c r="E189"/>
      <c r="F189" s="7"/>
      <c r="G189" s="7"/>
      <c r="H189" s="7"/>
      <c r="I189" s="7"/>
      <c r="J189" s="7"/>
    </row>
    <row r="190" spans="2:10" x14ac:dyDescent="0.15">
      <c r="B190"/>
      <c r="C190"/>
      <c r="D190"/>
      <c r="E190"/>
      <c r="F190" s="7"/>
      <c r="G190" s="7"/>
      <c r="H190" s="7"/>
      <c r="I190" s="7"/>
      <c r="J190" s="7"/>
    </row>
    <row r="191" spans="2:10" x14ac:dyDescent="0.15">
      <c r="B191"/>
      <c r="C191"/>
      <c r="D191"/>
      <c r="E191"/>
      <c r="F191" s="7"/>
      <c r="G191" s="7"/>
      <c r="H191" s="7"/>
      <c r="I191" s="7"/>
      <c r="J191" s="7"/>
    </row>
    <row r="192" spans="2:10" x14ac:dyDescent="0.15">
      <c r="B192"/>
      <c r="C192"/>
      <c r="D192"/>
      <c r="E192"/>
      <c r="F192" s="7"/>
      <c r="G192" s="7"/>
      <c r="H192" s="7"/>
      <c r="I192" s="7"/>
      <c r="J192" s="7"/>
    </row>
    <row r="193" spans="2:10" x14ac:dyDescent="0.15">
      <c r="B193"/>
      <c r="C193"/>
      <c r="D193"/>
      <c r="E193"/>
      <c r="F193" s="7"/>
      <c r="G193" s="7"/>
      <c r="H193" s="7"/>
      <c r="I193" s="7"/>
      <c r="J193" s="7"/>
    </row>
    <row r="194" spans="2:10" x14ac:dyDescent="0.15">
      <c r="B194"/>
      <c r="C194"/>
      <c r="D194"/>
      <c r="E194"/>
      <c r="F194" s="7"/>
      <c r="G194" s="7"/>
      <c r="H194" s="7"/>
      <c r="I194" s="7"/>
      <c r="J194" s="7"/>
    </row>
    <row r="195" spans="2:10" x14ac:dyDescent="0.15">
      <c r="B195"/>
      <c r="C195"/>
      <c r="D195"/>
      <c r="E195"/>
      <c r="F195" s="7"/>
      <c r="G195" s="7"/>
      <c r="H195" s="7"/>
      <c r="I195" s="7"/>
      <c r="J195" s="7"/>
    </row>
    <row r="196" spans="2:10" x14ac:dyDescent="0.15">
      <c r="B196"/>
      <c r="C196"/>
      <c r="D196"/>
      <c r="E196"/>
      <c r="F196" s="7"/>
      <c r="G196" s="7"/>
      <c r="H196" s="7"/>
      <c r="I196" s="7"/>
      <c r="J196" s="7"/>
    </row>
    <row r="197" spans="2:10" x14ac:dyDescent="0.15">
      <c r="B197"/>
      <c r="C197"/>
      <c r="D197"/>
      <c r="E197"/>
      <c r="F197" s="7"/>
      <c r="G197" s="7"/>
      <c r="H197" s="7"/>
      <c r="I197" s="7"/>
      <c r="J197" s="7"/>
    </row>
    <row r="198" spans="2:10" x14ac:dyDescent="0.15">
      <c r="B198"/>
      <c r="C198"/>
      <c r="D198"/>
      <c r="E198"/>
      <c r="F198" s="7"/>
      <c r="G198" s="7"/>
      <c r="H198" s="7"/>
      <c r="I198" s="7"/>
      <c r="J198" s="7"/>
    </row>
    <row r="199" spans="2:10" x14ac:dyDescent="0.15">
      <c r="B199"/>
      <c r="C199"/>
      <c r="D199"/>
      <c r="E199"/>
      <c r="F199" s="7"/>
      <c r="G199" s="7"/>
      <c r="H199" s="7"/>
      <c r="I199" s="7"/>
      <c r="J199" s="7"/>
    </row>
    <row r="200" spans="2:10" x14ac:dyDescent="0.15">
      <c r="B200"/>
      <c r="C200"/>
      <c r="D200"/>
      <c r="E200"/>
      <c r="F200" s="7"/>
      <c r="G200" s="7"/>
      <c r="H200" s="7"/>
      <c r="I200" s="7"/>
      <c r="J200" s="7"/>
    </row>
    <row r="201" spans="2:10" x14ac:dyDescent="0.15">
      <c r="B201"/>
      <c r="C201"/>
      <c r="D201"/>
      <c r="E201"/>
      <c r="F201" s="7"/>
      <c r="G201" s="7"/>
      <c r="H201" s="7"/>
      <c r="I201" s="7"/>
      <c r="J201" s="7"/>
    </row>
    <row r="202" spans="2:10" x14ac:dyDescent="0.15">
      <c r="B202"/>
      <c r="C202"/>
      <c r="D202"/>
      <c r="E202"/>
      <c r="F202" s="7"/>
      <c r="G202" s="7"/>
      <c r="H202" s="7"/>
      <c r="I202" s="7"/>
      <c r="J202" s="7"/>
    </row>
    <row r="203" spans="2:10" x14ac:dyDescent="0.15">
      <c r="B203"/>
      <c r="C203"/>
      <c r="D203"/>
      <c r="E203"/>
      <c r="F203" s="7"/>
      <c r="G203" s="7"/>
      <c r="H203" s="7"/>
      <c r="I203" s="7"/>
      <c r="J203" s="7"/>
    </row>
    <row r="204" spans="2:10" x14ac:dyDescent="0.15">
      <c r="B204"/>
      <c r="C204"/>
      <c r="D204"/>
      <c r="E204"/>
      <c r="F204" s="7"/>
      <c r="G204" s="7"/>
      <c r="H204" s="7"/>
      <c r="I204" s="7"/>
      <c r="J204" s="7"/>
    </row>
    <row r="205" spans="2:10" x14ac:dyDescent="0.15">
      <c r="B205"/>
      <c r="C205"/>
      <c r="D205"/>
      <c r="E205"/>
      <c r="F205" s="7"/>
      <c r="G205" s="7"/>
      <c r="H205" s="7"/>
      <c r="I205" s="7"/>
      <c r="J205" s="7"/>
    </row>
    <row r="206" spans="2:10" x14ac:dyDescent="0.15">
      <c r="B206"/>
      <c r="C206"/>
      <c r="D206"/>
      <c r="E206"/>
      <c r="F206" s="7"/>
      <c r="G206" s="7"/>
      <c r="H206" s="7"/>
      <c r="I206" s="7"/>
      <c r="J206" s="7"/>
    </row>
    <row r="207" spans="2:10" x14ac:dyDescent="0.15">
      <c r="B207"/>
      <c r="C207"/>
      <c r="D207"/>
      <c r="E207"/>
      <c r="F207" s="7"/>
      <c r="G207" s="7"/>
      <c r="H207" s="7"/>
      <c r="I207" s="7"/>
      <c r="J207" s="7"/>
    </row>
    <row r="208" spans="2:10" x14ac:dyDescent="0.15">
      <c r="B208"/>
      <c r="C208"/>
      <c r="D208"/>
      <c r="E208"/>
      <c r="F208" s="7"/>
      <c r="G208" s="7"/>
      <c r="H208" s="7"/>
      <c r="I208" s="7"/>
      <c r="J208" s="7"/>
    </row>
    <row r="209" spans="2:10" x14ac:dyDescent="0.15">
      <c r="B209"/>
      <c r="C209"/>
      <c r="D209"/>
      <c r="E209"/>
      <c r="F209" s="7"/>
      <c r="G209" s="7"/>
      <c r="H209" s="7"/>
      <c r="I209" s="7"/>
      <c r="J209" s="7"/>
    </row>
    <row r="210" spans="2:10" x14ac:dyDescent="0.15">
      <c r="B210"/>
      <c r="C210"/>
      <c r="D210"/>
      <c r="E210"/>
      <c r="F210" s="7"/>
      <c r="G210" s="7"/>
      <c r="H210" s="7"/>
      <c r="I210" s="7"/>
      <c r="J210" s="7"/>
    </row>
    <row r="211" spans="2:10" x14ac:dyDescent="0.15">
      <c r="B211"/>
      <c r="C211"/>
      <c r="D211"/>
      <c r="E211"/>
      <c r="F211" s="7"/>
      <c r="G211" s="7"/>
      <c r="H211" s="7"/>
      <c r="I211" s="7"/>
      <c r="J211" s="7"/>
    </row>
    <row r="212" spans="2:10" x14ac:dyDescent="0.15">
      <c r="B212"/>
      <c r="C212"/>
      <c r="D212"/>
      <c r="E212"/>
      <c r="F212" s="7"/>
      <c r="G212" s="7"/>
      <c r="H212" s="7"/>
      <c r="I212" s="7"/>
      <c r="J212" s="7"/>
    </row>
    <row r="213" spans="2:10" x14ac:dyDescent="0.15">
      <c r="B213"/>
      <c r="C213"/>
      <c r="D213"/>
      <c r="E213"/>
      <c r="F213" s="7"/>
      <c r="G213" s="7"/>
      <c r="H213" s="7"/>
      <c r="I213" s="7"/>
      <c r="J213" s="7"/>
    </row>
    <row r="214" spans="2:10" x14ac:dyDescent="0.15">
      <c r="B214"/>
      <c r="C214"/>
      <c r="D214"/>
      <c r="E214"/>
      <c r="F214" s="7"/>
      <c r="G214" s="7"/>
      <c r="H214" s="7"/>
      <c r="I214" s="7"/>
      <c r="J214" s="7"/>
    </row>
    <row r="215" spans="2:10" x14ac:dyDescent="0.15">
      <c r="B215"/>
      <c r="C215"/>
      <c r="D215"/>
      <c r="E215"/>
      <c r="F215" s="7"/>
      <c r="G215" s="7"/>
      <c r="H215" s="7"/>
      <c r="I215" s="7"/>
      <c r="J215" s="7"/>
    </row>
    <row r="216" spans="2:10" x14ac:dyDescent="0.15">
      <c r="B216"/>
      <c r="C216"/>
      <c r="D216"/>
      <c r="E216"/>
      <c r="F216" s="7"/>
      <c r="G216" s="7"/>
      <c r="H216" s="7"/>
      <c r="I216" s="7"/>
      <c r="J216" s="7"/>
    </row>
    <row r="217" spans="2:10" x14ac:dyDescent="0.15">
      <c r="B217"/>
      <c r="C217"/>
      <c r="D217"/>
      <c r="E217"/>
      <c r="F217" s="7"/>
      <c r="G217" s="7"/>
      <c r="H217" s="7"/>
      <c r="I217" s="7"/>
      <c r="J217" s="7"/>
    </row>
    <row r="218" spans="2:10" x14ac:dyDescent="0.15">
      <c r="B218"/>
      <c r="C218"/>
      <c r="D218"/>
      <c r="E218"/>
      <c r="F218" s="7"/>
      <c r="G218" s="7"/>
      <c r="H218" s="7"/>
      <c r="I218" s="7"/>
      <c r="J218" s="7"/>
    </row>
    <row r="219" spans="2:10" x14ac:dyDescent="0.15">
      <c r="B219"/>
      <c r="C219"/>
      <c r="D219"/>
      <c r="E219"/>
      <c r="F219" s="7"/>
      <c r="G219" s="7"/>
      <c r="H219" s="7"/>
      <c r="I219" s="7"/>
      <c r="J219" s="7"/>
    </row>
    <row r="220" spans="2:10" x14ac:dyDescent="0.15">
      <c r="B220"/>
      <c r="C220"/>
      <c r="D220"/>
      <c r="E220"/>
      <c r="F220" s="7"/>
      <c r="G220" s="7"/>
      <c r="H220" s="7"/>
      <c r="I220" s="7"/>
      <c r="J220" s="7"/>
    </row>
    <row r="221" spans="2:10" x14ac:dyDescent="0.15">
      <c r="B221"/>
      <c r="C221"/>
      <c r="D221"/>
      <c r="E221"/>
      <c r="F221" s="7"/>
      <c r="G221" s="7"/>
      <c r="H221" s="7"/>
      <c r="I221" s="7"/>
      <c r="J221" s="7"/>
    </row>
    <row r="222" spans="2:10" x14ac:dyDescent="0.15">
      <c r="B222"/>
      <c r="C222"/>
      <c r="D222"/>
      <c r="E222"/>
      <c r="F222" s="7"/>
      <c r="G222" s="7"/>
      <c r="H222" s="7"/>
      <c r="I222" s="7"/>
      <c r="J222" s="7"/>
    </row>
    <row r="223" spans="2:10" x14ac:dyDescent="0.15">
      <c r="B223"/>
      <c r="C223"/>
      <c r="D223"/>
      <c r="E223"/>
      <c r="F223" s="7"/>
      <c r="G223" s="7"/>
      <c r="H223" s="7"/>
      <c r="I223" s="7"/>
      <c r="J223" s="7"/>
    </row>
    <row r="224" spans="2:10" x14ac:dyDescent="0.15">
      <c r="B224"/>
      <c r="C224"/>
      <c r="D224"/>
      <c r="E224"/>
      <c r="F224" s="7"/>
      <c r="G224" s="7"/>
      <c r="H224" s="7"/>
      <c r="I224" s="7"/>
      <c r="J224" s="7"/>
    </row>
    <row r="225" spans="2:10" x14ac:dyDescent="0.15">
      <c r="B225"/>
      <c r="C225"/>
      <c r="D225"/>
      <c r="E225"/>
      <c r="F225" s="7"/>
      <c r="G225" s="7"/>
      <c r="H225" s="7"/>
      <c r="I225" s="7"/>
      <c r="J225" s="7"/>
    </row>
    <row r="226" spans="2:10" x14ac:dyDescent="0.15">
      <c r="B226"/>
      <c r="C226"/>
      <c r="D226"/>
      <c r="E226"/>
      <c r="F226" s="7"/>
      <c r="G226" s="7"/>
      <c r="H226" s="7"/>
      <c r="I226" s="7"/>
      <c r="J226" s="7"/>
    </row>
    <row r="227" spans="2:10" x14ac:dyDescent="0.15">
      <c r="B227"/>
      <c r="C227"/>
      <c r="D227"/>
      <c r="E227"/>
      <c r="F227" s="7"/>
      <c r="G227" s="7"/>
      <c r="H227" s="7"/>
      <c r="I227" s="7"/>
      <c r="J227" s="7"/>
    </row>
    <row r="228" spans="2:10" x14ac:dyDescent="0.15">
      <c r="B228"/>
      <c r="C228"/>
      <c r="D228"/>
      <c r="E228"/>
      <c r="F228" s="7"/>
      <c r="G228" s="7"/>
      <c r="H228" s="7"/>
      <c r="I228" s="7"/>
      <c r="J228" s="7"/>
    </row>
    <row r="229" spans="2:10" x14ac:dyDescent="0.15">
      <c r="B229"/>
      <c r="C229"/>
      <c r="D229"/>
      <c r="E229"/>
      <c r="F229" s="7"/>
      <c r="G229" s="7"/>
      <c r="H229" s="7"/>
      <c r="I229" s="7"/>
      <c r="J229" s="7"/>
    </row>
    <row r="230" spans="2:10" x14ac:dyDescent="0.15">
      <c r="B230"/>
      <c r="C230"/>
      <c r="D230"/>
      <c r="E230"/>
      <c r="F230" s="7"/>
      <c r="G230" s="7"/>
      <c r="H230" s="7"/>
      <c r="I230" s="7"/>
      <c r="J230" s="7"/>
    </row>
    <row r="231" spans="2:10" x14ac:dyDescent="0.15">
      <c r="B231"/>
      <c r="C231"/>
      <c r="D231"/>
      <c r="E231"/>
      <c r="F231" s="7"/>
      <c r="G231" s="7"/>
      <c r="H231" s="7"/>
      <c r="I231" s="7"/>
      <c r="J231" s="7"/>
    </row>
    <row r="232" spans="2:10" x14ac:dyDescent="0.15">
      <c r="B232"/>
      <c r="C232"/>
      <c r="D232"/>
      <c r="E232"/>
      <c r="F232" s="7"/>
      <c r="G232" s="7"/>
      <c r="H232" s="7"/>
      <c r="I232" s="7"/>
      <c r="J232" s="7"/>
    </row>
    <row r="233" spans="2:10" x14ac:dyDescent="0.15">
      <c r="B233"/>
      <c r="C233"/>
      <c r="D233"/>
      <c r="E233"/>
      <c r="F233" s="7"/>
      <c r="G233" s="7"/>
      <c r="H233" s="7"/>
      <c r="I233" s="7"/>
      <c r="J233" s="7"/>
    </row>
    <row r="234" spans="2:10" x14ac:dyDescent="0.15">
      <c r="B234"/>
      <c r="C234"/>
      <c r="D234"/>
      <c r="E234"/>
      <c r="F234" s="7"/>
      <c r="G234" s="7"/>
      <c r="H234" s="7"/>
      <c r="I234" s="7"/>
      <c r="J234" s="7"/>
    </row>
    <row r="235" spans="2:10" x14ac:dyDescent="0.15">
      <c r="B235"/>
      <c r="C235"/>
      <c r="D235"/>
      <c r="E235"/>
      <c r="F235" s="7"/>
      <c r="G235" s="7"/>
      <c r="H235" s="7"/>
      <c r="I235" s="7"/>
      <c r="J235" s="7"/>
    </row>
    <row r="236" spans="2:10" x14ac:dyDescent="0.15">
      <c r="B236"/>
      <c r="C236"/>
      <c r="D236"/>
      <c r="E236"/>
      <c r="F236" s="7"/>
      <c r="G236" s="7"/>
      <c r="H236" s="7"/>
      <c r="I236" s="7"/>
      <c r="J236" s="7"/>
    </row>
    <row r="237" spans="2:10" x14ac:dyDescent="0.15">
      <c r="B237"/>
      <c r="C237"/>
      <c r="D237"/>
      <c r="E237"/>
      <c r="F237" s="7"/>
      <c r="G237" s="7"/>
      <c r="H237" s="7"/>
      <c r="I237" s="7"/>
      <c r="J237" s="7"/>
    </row>
    <row r="238" spans="2:10" x14ac:dyDescent="0.15">
      <c r="B238"/>
      <c r="C238"/>
      <c r="D238"/>
      <c r="E238"/>
      <c r="F238" s="7"/>
      <c r="G238" s="7"/>
      <c r="H238" s="7"/>
      <c r="I238" s="7"/>
      <c r="J238" s="7"/>
    </row>
    <row r="239" spans="2:10" x14ac:dyDescent="0.15">
      <c r="B239"/>
      <c r="C239"/>
      <c r="D239"/>
      <c r="E239"/>
      <c r="F239" s="7"/>
      <c r="G239" s="7"/>
      <c r="H239" s="7"/>
      <c r="I239" s="7"/>
      <c r="J239" s="7"/>
    </row>
    <row r="240" spans="2:10" x14ac:dyDescent="0.15">
      <c r="B240"/>
      <c r="C240"/>
      <c r="D240"/>
      <c r="E240"/>
      <c r="F240" s="7"/>
      <c r="G240" s="7"/>
      <c r="H240" s="7"/>
      <c r="I240" s="7"/>
      <c r="J240" s="7"/>
    </row>
    <row r="241" spans="2:10" x14ac:dyDescent="0.15">
      <c r="B241"/>
      <c r="C241"/>
      <c r="D241"/>
      <c r="E241"/>
      <c r="F241" s="7"/>
      <c r="G241" s="7"/>
      <c r="H241" s="7"/>
      <c r="I241" s="7"/>
      <c r="J241" s="7"/>
    </row>
    <row r="242" spans="2:10" x14ac:dyDescent="0.15">
      <c r="B242"/>
      <c r="C242"/>
      <c r="D242"/>
      <c r="E242"/>
      <c r="F242" s="7"/>
      <c r="G242" s="7"/>
      <c r="H242" s="7"/>
      <c r="I242" s="7"/>
      <c r="J242" s="7"/>
    </row>
    <row r="243" spans="2:10" x14ac:dyDescent="0.15">
      <c r="B243"/>
      <c r="C243"/>
      <c r="D243"/>
      <c r="E243"/>
      <c r="F243" s="7"/>
      <c r="G243" s="7"/>
      <c r="H243" s="7"/>
      <c r="I243" s="7"/>
      <c r="J243" s="7"/>
    </row>
    <row r="244" spans="2:10" x14ac:dyDescent="0.15">
      <c r="B244"/>
      <c r="C244"/>
      <c r="D244"/>
      <c r="E244"/>
      <c r="F244" s="7"/>
      <c r="G244" s="7"/>
      <c r="H244" s="7"/>
      <c r="I244" s="7"/>
      <c r="J244" s="7"/>
    </row>
    <row r="245" spans="2:10" x14ac:dyDescent="0.15">
      <c r="B245"/>
      <c r="C245"/>
      <c r="D245"/>
      <c r="E245"/>
      <c r="F245" s="7"/>
      <c r="G245" s="7"/>
      <c r="H245" s="7"/>
      <c r="I245" s="7"/>
      <c r="J245" s="7"/>
    </row>
    <row r="246" spans="2:10" x14ac:dyDescent="0.15">
      <c r="B246"/>
      <c r="C246"/>
      <c r="D246"/>
      <c r="E246"/>
      <c r="F246" s="7"/>
      <c r="G246" s="7"/>
      <c r="H246" s="7"/>
      <c r="I246" s="7"/>
      <c r="J246" s="7"/>
    </row>
    <row r="247" spans="2:10" x14ac:dyDescent="0.15">
      <c r="B247"/>
      <c r="C247"/>
      <c r="D247"/>
      <c r="E247"/>
      <c r="F247" s="7"/>
      <c r="G247" s="7"/>
      <c r="H247" s="7"/>
      <c r="I247" s="7"/>
      <c r="J247" s="7"/>
    </row>
    <row r="248" spans="2:10" x14ac:dyDescent="0.15">
      <c r="B248"/>
      <c r="C248"/>
      <c r="D248"/>
      <c r="E248"/>
      <c r="F248" s="7"/>
      <c r="G248" s="7"/>
      <c r="H248" s="7"/>
      <c r="I248" s="7"/>
      <c r="J248" s="7"/>
    </row>
    <row r="249" spans="2:10" x14ac:dyDescent="0.15">
      <c r="B249"/>
      <c r="C249"/>
      <c r="D249"/>
      <c r="E249"/>
      <c r="F249" s="7"/>
      <c r="G249" s="7"/>
      <c r="H249" s="7"/>
      <c r="I249" s="7"/>
      <c r="J249" s="7"/>
    </row>
    <row r="250" spans="2:10" x14ac:dyDescent="0.15">
      <c r="B250"/>
      <c r="C250"/>
      <c r="D250"/>
      <c r="E250"/>
      <c r="F250" s="7"/>
      <c r="G250" s="7"/>
      <c r="H250" s="7"/>
      <c r="I250" s="7"/>
      <c r="J250" s="7"/>
    </row>
    <row r="251" spans="2:10" x14ac:dyDescent="0.15">
      <c r="B251"/>
      <c r="C251"/>
      <c r="D251"/>
      <c r="E251"/>
      <c r="F251" s="7"/>
      <c r="G251" s="7"/>
      <c r="H251" s="7"/>
      <c r="I251" s="7"/>
      <c r="J251" s="7"/>
    </row>
    <row r="252" spans="2:10" x14ac:dyDescent="0.15">
      <c r="B252"/>
      <c r="C252"/>
      <c r="D252"/>
      <c r="E252"/>
      <c r="F252" s="7"/>
      <c r="G252" s="7"/>
      <c r="H252" s="7"/>
      <c r="I252" s="7"/>
      <c r="J252" s="7"/>
    </row>
    <row r="253" spans="2:10" x14ac:dyDescent="0.15">
      <c r="B253"/>
      <c r="C253"/>
      <c r="D253"/>
      <c r="E253"/>
      <c r="F253" s="7"/>
      <c r="G253" s="7"/>
      <c r="H253" s="7"/>
      <c r="I253" s="7"/>
      <c r="J253" s="7"/>
    </row>
    <row r="254" spans="2:10" x14ac:dyDescent="0.15">
      <c r="B254"/>
      <c r="C254"/>
      <c r="D254"/>
      <c r="E254"/>
      <c r="F254" s="7"/>
      <c r="G254" s="7"/>
      <c r="H254" s="7"/>
      <c r="I254" s="7"/>
      <c r="J254" s="7"/>
    </row>
    <row r="255" spans="2:10" x14ac:dyDescent="0.15">
      <c r="B255"/>
      <c r="C255"/>
      <c r="D255"/>
      <c r="E255"/>
      <c r="F255" s="7"/>
      <c r="G255" s="7"/>
      <c r="H255" s="7"/>
      <c r="I255" s="7"/>
      <c r="J255" s="7"/>
    </row>
    <row r="256" spans="2:10" x14ac:dyDescent="0.15">
      <c r="B256"/>
      <c r="C256"/>
      <c r="D256"/>
      <c r="E256"/>
      <c r="F256" s="7"/>
      <c r="G256" s="7"/>
      <c r="H256" s="7"/>
      <c r="I256" s="7"/>
      <c r="J256" s="7"/>
    </row>
    <row r="257" spans="2:10" x14ac:dyDescent="0.15">
      <c r="B257"/>
      <c r="C257"/>
      <c r="D257"/>
      <c r="E257"/>
      <c r="F257" s="7"/>
      <c r="G257" s="7"/>
      <c r="H257" s="7"/>
      <c r="I257" s="7"/>
      <c r="J257" s="7"/>
    </row>
    <row r="258" spans="2:10" x14ac:dyDescent="0.15">
      <c r="B258"/>
      <c r="C258"/>
      <c r="D258"/>
      <c r="E258"/>
      <c r="F258" s="7"/>
      <c r="G258" s="7"/>
      <c r="H258" s="7"/>
      <c r="I258" s="7"/>
      <c r="J258" s="7"/>
    </row>
    <row r="259" spans="2:10" x14ac:dyDescent="0.15">
      <c r="B259"/>
      <c r="C259"/>
      <c r="D259"/>
      <c r="E259"/>
      <c r="F259" s="7"/>
      <c r="G259" s="7"/>
      <c r="H259" s="7"/>
      <c r="I259" s="7"/>
      <c r="J259" s="7"/>
    </row>
    <row r="260" spans="2:10" x14ac:dyDescent="0.15">
      <c r="B260"/>
      <c r="C260"/>
      <c r="D260"/>
      <c r="E260"/>
      <c r="F260" s="7"/>
      <c r="G260" s="7"/>
      <c r="H260" s="7"/>
      <c r="I260" s="7"/>
      <c r="J260" s="7"/>
    </row>
    <row r="261" spans="2:10" x14ac:dyDescent="0.15">
      <c r="B261"/>
      <c r="C261"/>
      <c r="D261"/>
      <c r="E261"/>
      <c r="F261" s="7"/>
      <c r="G261" s="7"/>
      <c r="H261" s="7"/>
      <c r="I261" s="7"/>
      <c r="J261" s="7"/>
    </row>
    <row r="262" spans="2:10" x14ac:dyDescent="0.15">
      <c r="B262"/>
      <c r="C262"/>
      <c r="D262"/>
      <c r="E262"/>
      <c r="F262" s="7"/>
      <c r="G262" s="7"/>
      <c r="H262" s="7"/>
      <c r="I262" s="7"/>
      <c r="J262" s="7"/>
    </row>
    <row r="263" spans="2:10" x14ac:dyDescent="0.15">
      <c r="B263"/>
      <c r="C263"/>
      <c r="D263"/>
      <c r="E263"/>
      <c r="F263" s="7"/>
      <c r="G263" s="7"/>
      <c r="H263" s="7"/>
      <c r="I263" s="7"/>
      <c r="J263" s="7"/>
    </row>
    <row r="264" spans="2:10" x14ac:dyDescent="0.15">
      <c r="B264"/>
      <c r="C264"/>
      <c r="D264"/>
      <c r="E264"/>
      <c r="F264" s="7"/>
      <c r="G264" s="7"/>
      <c r="H264" s="7"/>
      <c r="I264" s="7"/>
      <c r="J264" s="7"/>
    </row>
    <row r="265" spans="2:10" x14ac:dyDescent="0.15">
      <c r="B265"/>
      <c r="C265"/>
      <c r="D265"/>
      <c r="E265"/>
      <c r="F265" s="7"/>
      <c r="G265" s="7"/>
      <c r="H265" s="7"/>
      <c r="I265" s="7"/>
      <c r="J265" s="7"/>
    </row>
    <row r="266" spans="2:10" x14ac:dyDescent="0.15">
      <c r="B266"/>
      <c r="C266"/>
      <c r="D266"/>
      <c r="E266"/>
      <c r="F266" s="7"/>
      <c r="G266" s="7"/>
      <c r="H266" s="7"/>
      <c r="I266" s="7"/>
      <c r="J266" s="7"/>
    </row>
    <row r="267" spans="2:10" x14ac:dyDescent="0.15">
      <c r="B267"/>
      <c r="C267"/>
      <c r="D267"/>
      <c r="E267"/>
      <c r="F267" s="7"/>
      <c r="G267" s="7"/>
      <c r="H267" s="7"/>
      <c r="I267" s="7"/>
      <c r="J267" s="7"/>
    </row>
    <row r="268" spans="2:10" x14ac:dyDescent="0.15">
      <c r="B268"/>
      <c r="C268"/>
      <c r="D268"/>
      <c r="E268"/>
      <c r="F268" s="7"/>
      <c r="G268" s="7"/>
      <c r="H268" s="7"/>
      <c r="I268" s="7"/>
      <c r="J268" s="7"/>
    </row>
    <row r="269" spans="2:10" x14ac:dyDescent="0.15">
      <c r="B269"/>
      <c r="C269"/>
      <c r="D269"/>
      <c r="E269"/>
      <c r="F269" s="7"/>
      <c r="G269" s="7"/>
      <c r="H269" s="7"/>
      <c r="I269" s="7"/>
      <c r="J269" s="7"/>
    </row>
    <row r="270" spans="2:10" x14ac:dyDescent="0.15">
      <c r="B270"/>
      <c r="C270"/>
      <c r="D270"/>
      <c r="E270"/>
      <c r="F270" s="7"/>
      <c r="G270" s="7"/>
      <c r="H270" s="7"/>
      <c r="I270" s="7"/>
      <c r="J270" s="7"/>
    </row>
    <row r="271" spans="2:10" x14ac:dyDescent="0.15">
      <c r="B271"/>
      <c r="C271"/>
      <c r="D271"/>
      <c r="E271"/>
      <c r="F271" s="7"/>
      <c r="G271" s="7"/>
      <c r="H271" s="7"/>
      <c r="I271" s="7"/>
      <c r="J271" s="7"/>
    </row>
    <row r="272" spans="2:10" x14ac:dyDescent="0.15">
      <c r="B272"/>
      <c r="C272"/>
      <c r="D272"/>
      <c r="E272"/>
      <c r="F272" s="7"/>
      <c r="G272" s="7"/>
      <c r="H272" s="7"/>
      <c r="I272" s="7"/>
      <c r="J272" s="7"/>
    </row>
    <row r="273" spans="2:10" x14ac:dyDescent="0.15">
      <c r="B273"/>
      <c r="C273"/>
      <c r="D273"/>
      <c r="E273"/>
      <c r="F273" s="7"/>
      <c r="G273" s="7"/>
      <c r="H273" s="7"/>
      <c r="I273" s="7"/>
      <c r="J273" s="7"/>
    </row>
    <row r="274" spans="2:10" x14ac:dyDescent="0.15">
      <c r="B274"/>
      <c r="C274"/>
      <c r="D274"/>
      <c r="E274"/>
      <c r="F274" s="7"/>
      <c r="G274" s="7"/>
      <c r="H274" s="7"/>
      <c r="I274" s="7"/>
      <c r="J274" s="7"/>
    </row>
    <row r="275" spans="2:10" x14ac:dyDescent="0.15">
      <c r="B275"/>
      <c r="C275"/>
      <c r="D275"/>
      <c r="E275"/>
      <c r="F275" s="7"/>
      <c r="G275" s="7"/>
      <c r="H275" s="7"/>
      <c r="I275" s="7"/>
      <c r="J275" s="7"/>
    </row>
    <row r="276" spans="2:10" x14ac:dyDescent="0.15">
      <c r="B276"/>
      <c r="C276"/>
      <c r="D276"/>
      <c r="E276"/>
      <c r="F276" s="7"/>
      <c r="G276" s="7"/>
      <c r="H276" s="7"/>
      <c r="I276" s="7"/>
      <c r="J276" s="7"/>
    </row>
    <row r="277" spans="2:10" x14ac:dyDescent="0.15">
      <c r="B277"/>
      <c r="C277"/>
      <c r="D277"/>
      <c r="E277"/>
      <c r="F277" s="7"/>
      <c r="G277" s="7"/>
      <c r="H277" s="7"/>
      <c r="I277" s="7"/>
      <c r="J277" s="7"/>
    </row>
    <row r="278" spans="2:10" x14ac:dyDescent="0.15">
      <c r="B278"/>
      <c r="C278"/>
      <c r="D278"/>
      <c r="E278"/>
      <c r="F278" s="7"/>
      <c r="G278" s="7"/>
      <c r="H278" s="7"/>
      <c r="I278" s="7"/>
      <c r="J278" s="7"/>
    </row>
    <row r="279" spans="2:10" x14ac:dyDescent="0.15">
      <c r="B279"/>
      <c r="C279"/>
      <c r="D279"/>
      <c r="E279"/>
      <c r="F279" s="7"/>
      <c r="G279" s="7"/>
      <c r="H279" s="7"/>
      <c r="I279" s="7"/>
      <c r="J279" s="7"/>
    </row>
    <row r="280" spans="2:10" x14ac:dyDescent="0.15">
      <c r="B280"/>
      <c r="C280"/>
      <c r="D280"/>
      <c r="E280"/>
      <c r="F280" s="7"/>
      <c r="G280" s="7"/>
      <c r="H280" s="7"/>
      <c r="I280" s="7"/>
      <c r="J280" s="7"/>
    </row>
    <row r="281" spans="2:10" x14ac:dyDescent="0.15">
      <c r="B281"/>
      <c r="C281"/>
      <c r="D281"/>
      <c r="E281"/>
      <c r="F281" s="7"/>
      <c r="G281" s="7"/>
      <c r="H281" s="7"/>
      <c r="I281" s="7"/>
      <c r="J281" s="7"/>
    </row>
    <row r="282" spans="2:10" x14ac:dyDescent="0.15">
      <c r="B282"/>
      <c r="C282"/>
      <c r="D282"/>
      <c r="E282"/>
      <c r="F282" s="7"/>
      <c r="G282" s="7"/>
      <c r="H282" s="7"/>
      <c r="I282" s="7"/>
      <c r="J282" s="7"/>
    </row>
    <row r="283" spans="2:10" x14ac:dyDescent="0.15">
      <c r="B283"/>
      <c r="C283"/>
      <c r="D283"/>
      <c r="E283"/>
      <c r="F283" s="7"/>
      <c r="G283" s="7"/>
      <c r="H283" s="7"/>
      <c r="I283" s="7"/>
      <c r="J283" s="7"/>
    </row>
    <row r="284" spans="2:10" x14ac:dyDescent="0.15">
      <c r="B284"/>
      <c r="C284"/>
      <c r="D284"/>
      <c r="E284"/>
      <c r="F284" s="7"/>
      <c r="G284" s="7"/>
      <c r="H284" s="7"/>
      <c r="I284" s="7"/>
      <c r="J284" s="7"/>
    </row>
    <row r="285" spans="2:10" x14ac:dyDescent="0.15">
      <c r="B285"/>
      <c r="C285"/>
      <c r="D285"/>
      <c r="E285"/>
      <c r="F285" s="7"/>
      <c r="G285" s="7"/>
      <c r="H285" s="7"/>
      <c r="I285" s="7"/>
      <c r="J285" s="7"/>
    </row>
    <row r="286" spans="2:10" x14ac:dyDescent="0.15">
      <c r="B286"/>
      <c r="C286"/>
      <c r="D286"/>
      <c r="E286"/>
      <c r="F286" s="7"/>
      <c r="G286" s="7"/>
      <c r="H286" s="7"/>
      <c r="I286" s="7"/>
      <c r="J286" s="7"/>
    </row>
    <row r="287" spans="2:10" x14ac:dyDescent="0.15">
      <c r="B287"/>
      <c r="C287"/>
      <c r="D287"/>
      <c r="E287"/>
      <c r="F287" s="7"/>
      <c r="G287" s="7"/>
      <c r="H287" s="7"/>
      <c r="I287" s="7"/>
      <c r="J287" s="7"/>
    </row>
    <row r="288" spans="2:10" x14ac:dyDescent="0.15">
      <c r="B288"/>
      <c r="C288"/>
      <c r="D288"/>
      <c r="E288"/>
      <c r="F288" s="7"/>
      <c r="G288" s="7"/>
      <c r="H288" s="7"/>
      <c r="I288" s="7"/>
      <c r="J288" s="7"/>
    </row>
    <row r="289" spans="2:10" x14ac:dyDescent="0.15">
      <c r="B289"/>
      <c r="C289"/>
      <c r="D289"/>
      <c r="E289"/>
      <c r="F289" s="7"/>
      <c r="G289" s="7"/>
      <c r="H289" s="7"/>
      <c r="I289" s="7"/>
      <c r="J289" s="7"/>
    </row>
    <row r="290" spans="2:10" x14ac:dyDescent="0.15">
      <c r="B290"/>
      <c r="C290"/>
      <c r="D290"/>
      <c r="E290"/>
      <c r="F290" s="7"/>
      <c r="G290" s="7"/>
      <c r="H290" s="7"/>
      <c r="I290" s="7"/>
      <c r="J290" s="7"/>
    </row>
    <row r="291" spans="2:10" x14ac:dyDescent="0.15">
      <c r="B291"/>
      <c r="C291"/>
      <c r="D291"/>
      <c r="E291"/>
      <c r="F291" s="7"/>
      <c r="G291" s="7"/>
      <c r="H291" s="7"/>
      <c r="I291" s="7"/>
      <c r="J291" s="7"/>
    </row>
    <row r="292" spans="2:10" x14ac:dyDescent="0.15">
      <c r="B292"/>
      <c r="C292"/>
      <c r="D292"/>
      <c r="E292"/>
      <c r="F292" s="7"/>
      <c r="G292" s="7"/>
      <c r="H292" s="7"/>
      <c r="I292" s="7"/>
      <c r="J292" s="7"/>
    </row>
    <row r="293" spans="2:10" x14ac:dyDescent="0.15">
      <c r="B293"/>
      <c r="C293"/>
      <c r="D293"/>
      <c r="E293"/>
      <c r="F293" s="7"/>
      <c r="G293" s="7"/>
      <c r="H293" s="7"/>
      <c r="I293" s="7"/>
      <c r="J293" s="7"/>
    </row>
    <row r="294" spans="2:10" x14ac:dyDescent="0.15">
      <c r="B294"/>
      <c r="C294"/>
      <c r="D294"/>
      <c r="E294"/>
      <c r="F294" s="7"/>
      <c r="G294" s="7"/>
      <c r="H294" s="7"/>
      <c r="I294" s="7"/>
      <c r="J294" s="7"/>
    </row>
    <row r="295" spans="2:10" x14ac:dyDescent="0.15">
      <c r="B295"/>
      <c r="C295"/>
      <c r="D295"/>
      <c r="E295"/>
      <c r="F295" s="7"/>
      <c r="G295" s="7"/>
      <c r="H295" s="7"/>
      <c r="I295" s="7"/>
      <c r="J295" s="7"/>
    </row>
    <row r="296" spans="2:10" x14ac:dyDescent="0.15">
      <c r="B296"/>
      <c r="C296"/>
      <c r="D296"/>
      <c r="E296"/>
      <c r="F296" s="7"/>
      <c r="G296" s="7"/>
      <c r="H296" s="7"/>
      <c r="I296" s="7"/>
      <c r="J296" s="7"/>
    </row>
    <row r="297" spans="2:10" x14ac:dyDescent="0.15">
      <c r="B297"/>
      <c r="C297"/>
      <c r="D297"/>
      <c r="E297"/>
      <c r="F297" s="7"/>
      <c r="G297" s="7"/>
      <c r="H297" s="7"/>
      <c r="I297" s="7"/>
      <c r="J297" s="7"/>
    </row>
    <row r="298" spans="2:10" x14ac:dyDescent="0.15">
      <c r="B298"/>
      <c r="C298"/>
      <c r="D298"/>
      <c r="E298"/>
      <c r="F298" s="7"/>
      <c r="G298" s="7"/>
      <c r="H298" s="7"/>
      <c r="I298" s="7"/>
      <c r="J298" s="7"/>
    </row>
    <row r="299" spans="2:10" x14ac:dyDescent="0.15">
      <c r="B299"/>
      <c r="C299"/>
      <c r="D299"/>
      <c r="E299"/>
      <c r="F299" s="7"/>
      <c r="G299" s="7"/>
      <c r="H299" s="7"/>
      <c r="I299" s="7"/>
      <c r="J299" s="7"/>
    </row>
    <row r="300" spans="2:10" x14ac:dyDescent="0.15">
      <c r="B300"/>
      <c r="C300"/>
      <c r="D300"/>
      <c r="E300"/>
      <c r="F300" s="7"/>
      <c r="G300" s="7"/>
      <c r="H300" s="7"/>
      <c r="I300" s="7"/>
      <c r="J300" s="7"/>
    </row>
    <row r="301" spans="2:10" x14ac:dyDescent="0.15">
      <c r="B301"/>
      <c r="C301"/>
      <c r="D301"/>
      <c r="E301"/>
      <c r="F301" s="7"/>
      <c r="G301" s="7"/>
      <c r="H301" s="7"/>
      <c r="I301" s="7"/>
      <c r="J301" s="7"/>
    </row>
    <row r="302" spans="2:10" x14ac:dyDescent="0.15">
      <c r="B302"/>
      <c r="C302"/>
      <c r="D302"/>
      <c r="E302"/>
      <c r="F302" s="7"/>
      <c r="G302" s="7"/>
      <c r="H302" s="7"/>
      <c r="I302" s="7"/>
      <c r="J302" s="7"/>
    </row>
    <row r="303" spans="2:10" x14ac:dyDescent="0.15">
      <c r="B303"/>
      <c r="C303"/>
      <c r="D303"/>
      <c r="E303"/>
      <c r="F303" s="7"/>
      <c r="G303" s="7"/>
      <c r="H303" s="7"/>
      <c r="I303" s="7"/>
      <c r="J303" s="7"/>
    </row>
    <row r="304" spans="2:10" x14ac:dyDescent="0.15">
      <c r="B304"/>
      <c r="C304"/>
      <c r="D304"/>
      <c r="E304"/>
      <c r="F304" s="7"/>
      <c r="G304" s="7"/>
      <c r="H304" s="7"/>
      <c r="I304" s="7"/>
      <c r="J304" s="7"/>
    </row>
    <row r="305" spans="2:10" x14ac:dyDescent="0.15">
      <c r="B305"/>
      <c r="C305"/>
      <c r="D305"/>
      <c r="E305"/>
      <c r="F305" s="7"/>
      <c r="G305" s="7"/>
      <c r="H305" s="7"/>
      <c r="I305" s="7"/>
      <c r="J305" s="7"/>
    </row>
    <row r="306" spans="2:10" x14ac:dyDescent="0.15">
      <c r="B306"/>
      <c r="C306"/>
      <c r="D306"/>
      <c r="E306"/>
      <c r="F306" s="7"/>
      <c r="G306" s="7"/>
      <c r="H306" s="7"/>
      <c r="I306" s="7"/>
      <c r="J306" s="7"/>
    </row>
    <row r="307" spans="2:10" x14ac:dyDescent="0.15">
      <c r="B307"/>
      <c r="C307"/>
      <c r="D307"/>
      <c r="E307"/>
      <c r="F307" s="7"/>
      <c r="G307" s="7"/>
      <c r="H307" s="7"/>
      <c r="I307" s="7"/>
      <c r="J307" s="7"/>
    </row>
    <row r="308" spans="2:10" x14ac:dyDescent="0.15">
      <c r="B308"/>
      <c r="C308"/>
      <c r="D308"/>
      <c r="E308"/>
      <c r="F308" s="7"/>
      <c r="G308" s="7"/>
      <c r="H308" s="7"/>
      <c r="I308" s="7"/>
      <c r="J308" s="7"/>
    </row>
    <row r="309" spans="2:10" x14ac:dyDescent="0.15">
      <c r="B309"/>
      <c r="C309"/>
      <c r="D309"/>
      <c r="E309"/>
      <c r="F309" s="7"/>
      <c r="G309" s="7"/>
      <c r="H309" s="7"/>
      <c r="I309" s="7"/>
      <c r="J309" s="7"/>
    </row>
    <row r="310" spans="2:10" x14ac:dyDescent="0.15">
      <c r="B310"/>
      <c r="C310"/>
      <c r="D310"/>
      <c r="E310"/>
      <c r="F310" s="7"/>
      <c r="G310" s="7"/>
      <c r="H310" s="7"/>
      <c r="I310" s="7"/>
      <c r="J310" s="7"/>
    </row>
    <row r="311" spans="2:10" x14ac:dyDescent="0.15">
      <c r="B311"/>
      <c r="C311"/>
      <c r="D311"/>
      <c r="E311"/>
      <c r="F311" s="7"/>
      <c r="G311" s="7"/>
      <c r="H311" s="7"/>
      <c r="I311" s="7"/>
      <c r="J311" s="7"/>
    </row>
    <row r="312" spans="2:10" x14ac:dyDescent="0.15">
      <c r="B312"/>
      <c r="C312"/>
      <c r="D312"/>
      <c r="E312"/>
      <c r="F312" s="7"/>
      <c r="G312" s="7"/>
      <c r="H312" s="7"/>
      <c r="I312" s="7"/>
      <c r="J312" s="7"/>
    </row>
    <row r="313" spans="2:10" x14ac:dyDescent="0.15">
      <c r="B313"/>
      <c r="C313"/>
      <c r="D313"/>
      <c r="E313"/>
      <c r="F313" s="7"/>
      <c r="G313" s="7"/>
      <c r="H313" s="7"/>
      <c r="I313" s="7"/>
      <c r="J313" s="7"/>
    </row>
    <row r="314" spans="2:10" x14ac:dyDescent="0.15">
      <c r="B314"/>
      <c r="C314"/>
      <c r="D314"/>
      <c r="E314"/>
      <c r="F314" s="7"/>
      <c r="G314" s="7"/>
      <c r="H314" s="7"/>
      <c r="I314" s="7"/>
      <c r="J314" s="7"/>
    </row>
    <row r="315" spans="2:10" x14ac:dyDescent="0.15">
      <c r="B315"/>
      <c r="C315"/>
      <c r="D315"/>
      <c r="E315"/>
      <c r="F315" s="7"/>
      <c r="G315" s="7"/>
      <c r="H315" s="7"/>
      <c r="I315" s="7"/>
      <c r="J315" s="7"/>
    </row>
    <row r="316" spans="2:10" x14ac:dyDescent="0.15">
      <c r="B316"/>
      <c r="C316"/>
      <c r="D316"/>
      <c r="E316"/>
      <c r="F316" s="7"/>
      <c r="G316" s="7"/>
      <c r="H316" s="7"/>
      <c r="I316" s="7"/>
      <c r="J316" s="7"/>
    </row>
    <row r="317" spans="2:10" x14ac:dyDescent="0.15">
      <c r="B317"/>
      <c r="C317"/>
      <c r="D317"/>
      <c r="E317"/>
      <c r="F317" s="7"/>
      <c r="G317" s="7"/>
      <c r="H317" s="7"/>
      <c r="I317" s="7"/>
      <c r="J317" s="7"/>
    </row>
    <row r="318" spans="2:10" x14ac:dyDescent="0.15">
      <c r="B318"/>
      <c r="C318"/>
      <c r="D318"/>
      <c r="E318"/>
      <c r="F318" s="7"/>
      <c r="G318" s="7"/>
      <c r="H318" s="7"/>
      <c r="I318" s="7"/>
      <c r="J318" s="7"/>
    </row>
    <row r="319" spans="2:10" x14ac:dyDescent="0.15">
      <c r="B319"/>
      <c r="C319"/>
      <c r="D319"/>
      <c r="E319"/>
      <c r="F319" s="7"/>
      <c r="G319" s="7"/>
      <c r="H319" s="7"/>
      <c r="I319" s="7"/>
      <c r="J319" s="7"/>
    </row>
    <row r="320" spans="2:10" x14ac:dyDescent="0.15">
      <c r="B320"/>
      <c r="C320"/>
      <c r="D320"/>
      <c r="E320"/>
      <c r="F320" s="7"/>
      <c r="G320" s="7"/>
      <c r="H320" s="7"/>
      <c r="I320" s="7"/>
      <c r="J320" s="7"/>
    </row>
    <row r="321" spans="2:10" x14ac:dyDescent="0.15">
      <c r="B321"/>
      <c r="C321"/>
      <c r="D321"/>
      <c r="E321"/>
      <c r="F321" s="7"/>
      <c r="G321" s="7"/>
      <c r="H321" s="7"/>
      <c r="I321" s="7"/>
      <c r="J321" s="7"/>
    </row>
    <row r="322" spans="2:10" x14ac:dyDescent="0.15">
      <c r="B322"/>
      <c r="C322"/>
      <c r="D322"/>
      <c r="E322"/>
      <c r="F322" s="7"/>
      <c r="G322" s="7"/>
      <c r="H322" s="7"/>
      <c r="I322" s="7"/>
      <c r="J322" s="7"/>
    </row>
    <row r="323" spans="2:10" x14ac:dyDescent="0.15">
      <c r="B323"/>
      <c r="C323"/>
      <c r="D323"/>
      <c r="E323"/>
      <c r="F323" s="7"/>
      <c r="G323" s="7"/>
      <c r="H323" s="7"/>
      <c r="I323" s="7"/>
      <c r="J323" s="7"/>
    </row>
    <row r="324" spans="2:10" x14ac:dyDescent="0.15">
      <c r="B324"/>
      <c r="C324"/>
      <c r="D324"/>
      <c r="E324"/>
      <c r="F324" s="7"/>
      <c r="G324" s="7"/>
      <c r="H324" s="7"/>
      <c r="I324" s="7"/>
      <c r="J324" s="7"/>
    </row>
    <row r="325" spans="2:10" x14ac:dyDescent="0.15">
      <c r="B325"/>
      <c r="C325"/>
      <c r="D325"/>
      <c r="E325"/>
      <c r="F325" s="7"/>
      <c r="G325" s="7"/>
      <c r="H325" s="7"/>
      <c r="I325" s="7"/>
      <c r="J325" s="7"/>
    </row>
    <row r="326" spans="2:10" x14ac:dyDescent="0.15">
      <c r="B326"/>
      <c r="C326"/>
      <c r="D326"/>
      <c r="E326"/>
      <c r="F326" s="7"/>
      <c r="G326" s="7"/>
      <c r="H326" s="7"/>
      <c r="I326" s="7"/>
      <c r="J326" s="7"/>
    </row>
    <row r="327" spans="2:10" x14ac:dyDescent="0.15">
      <c r="B327"/>
      <c r="C327"/>
      <c r="D327"/>
      <c r="E327"/>
      <c r="F327" s="7"/>
      <c r="G327" s="7"/>
      <c r="H327" s="7"/>
      <c r="I327" s="7"/>
      <c r="J327" s="7"/>
    </row>
    <row r="328" spans="2:10" x14ac:dyDescent="0.15">
      <c r="B328"/>
      <c r="C328"/>
      <c r="D328"/>
      <c r="E328"/>
      <c r="F328" s="7"/>
      <c r="G328" s="7"/>
      <c r="H328" s="7"/>
      <c r="I328" s="7"/>
      <c r="J328" s="7"/>
    </row>
    <row r="329" spans="2:10" x14ac:dyDescent="0.15">
      <c r="B329"/>
      <c r="C329"/>
      <c r="D329"/>
      <c r="E329"/>
      <c r="F329" s="7"/>
      <c r="G329" s="7"/>
      <c r="H329" s="7"/>
      <c r="I329" s="7"/>
      <c r="J329" s="7"/>
    </row>
    <row r="330" spans="2:10" x14ac:dyDescent="0.15">
      <c r="B330"/>
      <c r="C330"/>
      <c r="D330"/>
      <c r="E330"/>
      <c r="F330" s="7"/>
      <c r="G330" s="7"/>
      <c r="H330" s="7"/>
      <c r="I330" s="7"/>
      <c r="J330" s="7"/>
    </row>
    <row r="331" spans="2:10" x14ac:dyDescent="0.15">
      <c r="B331"/>
      <c r="C331"/>
      <c r="D331"/>
      <c r="E331"/>
      <c r="F331" s="7"/>
      <c r="G331" s="7"/>
      <c r="H331" s="7"/>
      <c r="I331" s="7"/>
      <c r="J331" s="7"/>
    </row>
    <row r="332" spans="2:10" x14ac:dyDescent="0.15">
      <c r="B332"/>
      <c r="C332"/>
      <c r="D332"/>
      <c r="E332"/>
      <c r="F332" s="7"/>
      <c r="G332" s="7"/>
      <c r="H332" s="7"/>
      <c r="I332" s="7"/>
      <c r="J332" s="7"/>
    </row>
    <row r="333" spans="2:10" x14ac:dyDescent="0.15">
      <c r="B333"/>
      <c r="C333"/>
      <c r="D333"/>
      <c r="E333"/>
      <c r="F333" s="7"/>
      <c r="G333" s="7"/>
      <c r="H333" s="7"/>
      <c r="I333" s="7"/>
      <c r="J333" s="7"/>
    </row>
    <row r="334" spans="2:10" x14ac:dyDescent="0.15">
      <c r="B334"/>
      <c r="C334"/>
      <c r="D334"/>
      <c r="E334"/>
      <c r="F334" s="7"/>
      <c r="G334" s="7"/>
      <c r="H334" s="7"/>
      <c r="I334" s="7"/>
      <c r="J334" s="7"/>
    </row>
    <row r="335" spans="2:10" x14ac:dyDescent="0.15">
      <c r="B335"/>
      <c r="C335"/>
      <c r="D335"/>
      <c r="E335"/>
      <c r="F335" s="7"/>
      <c r="G335" s="7"/>
      <c r="H335" s="7"/>
      <c r="I335" s="7"/>
      <c r="J335" s="7"/>
    </row>
    <row r="336" spans="2:10" x14ac:dyDescent="0.15">
      <c r="B336"/>
      <c r="C336"/>
      <c r="D336"/>
      <c r="E336"/>
      <c r="F336" s="7"/>
      <c r="G336" s="7"/>
      <c r="H336" s="7"/>
      <c r="I336" s="7"/>
      <c r="J336" s="7"/>
    </row>
    <row r="337" spans="2:10" x14ac:dyDescent="0.15">
      <c r="B337"/>
      <c r="C337"/>
      <c r="D337"/>
      <c r="E337"/>
      <c r="F337" s="7"/>
      <c r="G337" s="7"/>
      <c r="H337" s="7"/>
      <c r="I337" s="7"/>
      <c r="J337" s="7"/>
    </row>
    <row r="338" spans="2:10" x14ac:dyDescent="0.15">
      <c r="B338"/>
      <c r="C338"/>
      <c r="D338"/>
      <c r="E338"/>
      <c r="F338" s="7"/>
      <c r="G338" s="7"/>
      <c r="H338" s="7"/>
      <c r="I338" s="7"/>
      <c r="J338" s="7"/>
    </row>
    <row r="339" spans="2:10" x14ac:dyDescent="0.15">
      <c r="B339"/>
      <c r="C339"/>
      <c r="D339"/>
      <c r="E339"/>
      <c r="F339" s="7"/>
      <c r="G339" s="7"/>
      <c r="H339" s="7"/>
      <c r="I339" s="7"/>
      <c r="J339" s="7"/>
    </row>
    <row r="340" spans="2:10" x14ac:dyDescent="0.15">
      <c r="B340"/>
      <c r="C340"/>
      <c r="D340"/>
      <c r="E340"/>
      <c r="F340" s="7"/>
      <c r="G340" s="7"/>
      <c r="H340" s="7"/>
      <c r="I340" s="7"/>
      <c r="J340" s="7"/>
    </row>
    <row r="341" spans="2:10" x14ac:dyDescent="0.15">
      <c r="B341"/>
      <c r="C341"/>
      <c r="D341"/>
      <c r="E341"/>
      <c r="F341" s="7"/>
      <c r="G341" s="7"/>
      <c r="H341" s="7"/>
      <c r="I341" s="7"/>
      <c r="J341" s="7"/>
    </row>
    <row r="342" spans="2:10" x14ac:dyDescent="0.15">
      <c r="B342"/>
      <c r="C342"/>
      <c r="D342"/>
      <c r="E342"/>
      <c r="F342" s="7"/>
      <c r="G342" s="7"/>
      <c r="H342" s="7"/>
      <c r="I342" s="7"/>
      <c r="J342" s="7"/>
    </row>
    <row r="343" spans="2:10" x14ac:dyDescent="0.15">
      <c r="B343"/>
      <c r="C343"/>
      <c r="D343"/>
      <c r="E343"/>
      <c r="F343" s="7"/>
      <c r="G343" s="7"/>
      <c r="H343" s="7"/>
      <c r="I343" s="7"/>
      <c r="J343" s="7"/>
    </row>
    <row r="344" spans="2:10" x14ac:dyDescent="0.15">
      <c r="B344"/>
      <c r="C344"/>
      <c r="D344"/>
      <c r="E344"/>
      <c r="F344" s="7"/>
      <c r="G344" s="7"/>
      <c r="H344" s="7"/>
      <c r="I344" s="7"/>
      <c r="J344" s="7"/>
    </row>
    <row r="345" spans="2:10" x14ac:dyDescent="0.15">
      <c r="B345"/>
      <c r="C345"/>
      <c r="D345"/>
      <c r="E345"/>
      <c r="F345" s="7"/>
      <c r="G345" s="7"/>
      <c r="H345" s="7"/>
      <c r="I345" s="7"/>
      <c r="J345" s="7"/>
    </row>
    <row r="346" spans="2:10" x14ac:dyDescent="0.15">
      <c r="B346"/>
      <c r="C346"/>
      <c r="D346"/>
      <c r="E346"/>
      <c r="F346" s="7"/>
      <c r="G346" s="7"/>
      <c r="H346" s="7"/>
      <c r="I346" s="7"/>
      <c r="J346" s="7"/>
    </row>
    <row r="347" spans="2:10" x14ac:dyDescent="0.15">
      <c r="B347"/>
      <c r="C347"/>
      <c r="D347"/>
      <c r="E347"/>
      <c r="F347" s="7"/>
      <c r="G347" s="7"/>
      <c r="H347" s="7"/>
      <c r="I347" s="7"/>
      <c r="J347" s="7"/>
    </row>
    <row r="348" spans="2:10" x14ac:dyDescent="0.15">
      <c r="B348"/>
      <c r="C348"/>
      <c r="D348"/>
      <c r="E348"/>
      <c r="F348" s="7"/>
      <c r="G348" s="7"/>
      <c r="H348" s="7"/>
      <c r="I348" s="7"/>
      <c r="J348" s="7"/>
    </row>
    <row r="349" spans="2:10" x14ac:dyDescent="0.15">
      <c r="B349"/>
      <c r="C349"/>
      <c r="D349"/>
      <c r="E349"/>
      <c r="F349" s="7"/>
      <c r="G349" s="7"/>
      <c r="H349" s="7"/>
      <c r="I349" s="7"/>
      <c r="J349" s="7"/>
    </row>
    <row r="350" spans="2:10" x14ac:dyDescent="0.15">
      <c r="B350"/>
      <c r="C350"/>
      <c r="D350"/>
      <c r="E350"/>
      <c r="F350" s="7"/>
      <c r="G350" s="7"/>
      <c r="H350" s="7"/>
      <c r="I350" s="7"/>
      <c r="J350" s="7"/>
    </row>
    <row r="351" spans="2:10" x14ac:dyDescent="0.15">
      <c r="B351"/>
      <c r="C351"/>
      <c r="D351"/>
      <c r="E351"/>
      <c r="F351" s="7"/>
      <c r="G351" s="7"/>
      <c r="H351" s="7"/>
      <c r="I351" s="7"/>
      <c r="J351" s="7"/>
    </row>
    <row r="352" spans="2:10" x14ac:dyDescent="0.15">
      <c r="B352"/>
      <c r="C352"/>
      <c r="D352"/>
      <c r="E352"/>
      <c r="F352" s="7"/>
      <c r="G352" s="7"/>
      <c r="H352" s="7"/>
      <c r="I352" s="7"/>
      <c r="J352" s="7"/>
    </row>
    <row r="353" spans="2:10" x14ac:dyDescent="0.15">
      <c r="B353"/>
      <c r="C353"/>
      <c r="D353"/>
      <c r="E353"/>
      <c r="F353" s="7"/>
      <c r="G353" s="7"/>
      <c r="H353" s="7"/>
      <c r="I353" s="7"/>
      <c r="J353" s="7"/>
    </row>
    <row r="354" spans="2:10" x14ac:dyDescent="0.15">
      <c r="B354"/>
      <c r="C354"/>
      <c r="D354"/>
      <c r="E354"/>
      <c r="F354" s="7"/>
      <c r="G354" s="7"/>
      <c r="H354" s="7"/>
      <c r="I354" s="7"/>
      <c r="J354" s="7"/>
    </row>
    <row r="355" spans="2:10" x14ac:dyDescent="0.15">
      <c r="B355"/>
      <c r="C355"/>
      <c r="D355"/>
      <c r="E355"/>
      <c r="F355" s="7"/>
      <c r="G355" s="7"/>
      <c r="H355" s="7"/>
      <c r="I355" s="7"/>
      <c r="J355" s="7"/>
    </row>
    <row r="356" spans="2:10" x14ac:dyDescent="0.15">
      <c r="B356"/>
      <c r="C356"/>
      <c r="D356"/>
      <c r="E356"/>
      <c r="F356" s="7"/>
      <c r="G356" s="7"/>
      <c r="H356" s="7"/>
      <c r="I356" s="7"/>
      <c r="J356" s="7"/>
    </row>
    <row r="357" spans="2:10" x14ac:dyDescent="0.15">
      <c r="B357"/>
      <c r="C357"/>
      <c r="D357"/>
      <c r="E357"/>
      <c r="F357" s="7"/>
      <c r="G357" s="7"/>
      <c r="H357" s="7"/>
      <c r="I357" s="7"/>
      <c r="J357" s="7"/>
    </row>
    <row r="358" spans="2:10" x14ac:dyDescent="0.15">
      <c r="B358"/>
      <c r="C358"/>
      <c r="D358"/>
      <c r="E358"/>
      <c r="F358" s="7"/>
      <c r="G358" s="7"/>
      <c r="H358" s="7"/>
      <c r="I358" s="7"/>
      <c r="J358" s="7"/>
    </row>
    <row r="359" spans="2:10" x14ac:dyDescent="0.15">
      <c r="B359"/>
      <c r="C359"/>
      <c r="D359"/>
      <c r="E359"/>
      <c r="F359" s="7"/>
      <c r="G359" s="7"/>
      <c r="H359" s="7"/>
      <c r="I359" s="7"/>
      <c r="J359" s="7"/>
    </row>
    <row r="360" spans="2:10" x14ac:dyDescent="0.15">
      <c r="B360"/>
      <c r="C360"/>
      <c r="D360"/>
      <c r="E360"/>
      <c r="F360" s="7"/>
      <c r="G360" s="7"/>
      <c r="H360" s="7"/>
      <c r="I360" s="7"/>
      <c r="J360" s="7"/>
    </row>
    <row r="361" spans="2:10" x14ac:dyDescent="0.15">
      <c r="B361"/>
      <c r="C361"/>
      <c r="D361"/>
      <c r="E361"/>
      <c r="F361" s="7"/>
      <c r="G361" s="7"/>
      <c r="H361" s="7"/>
      <c r="I361" s="7"/>
      <c r="J361" s="7"/>
    </row>
    <row r="362" spans="2:10" x14ac:dyDescent="0.15">
      <c r="B362"/>
      <c r="C362"/>
      <c r="D362"/>
      <c r="E362"/>
      <c r="F362" s="7"/>
      <c r="G362" s="7"/>
      <c r="H362" s="7"/>
      <c r="I362" s="7"/>
      <c r="J362" s="7"/>
    </row>
    <row r="363" spans="2:10" x14ac:dyDescent="0.15">
      <c r="B363"/>
      <c r="C363"/>
      <c r="D363"/>
      <c r="E363"/>
      <c r="F363" s="7"/>
      <c r="G363" s="7"/>
      <c r="H363" s="7"/>
      <c r="I363" s="7"/>
      <c r="J363" s="7"/>
    </row>
    <row r="364" spans="2:10" x14ac:dyDescent="0.15">
      <c r="B364"/>
      <c r="C364"/>
      <c r="D364"/>
      <c r="E364"/>
      <c r="F364" s="7"/>
      <c r="G364" s="7"/>
      <c r="H364" s="7"/>
      <c r="I364" s="7"/>
      <c r="J364" s="7"/>
    </row>
    <row r="365" spans="2:10" x14ac:dyDescent="0.15">
      <c r="B365"/>
      <c r="C365"/>
      <c r="D365"/>
      <c r="E365"/>
      <c r="F365" s="7"/>
      <c r="G365" s="7"/>
      <c r="H365" s="7"/>
      <c r="I365" s="7"/>
      <c r="J365" s="7"/>
    </row>
    <row r="366" spans="2:10" x14ac:dyDescent="0.15">
      <c r="B366"/>
      <c r="C366"/>
      <c r="D366"/>
      <c r="E366"/>
      <c r="F366" s="7"/>
      <c r="G366" s="7"/>
      <c r="H366" s="7"/>
      <c r="I366" s="7"/>
      <c r="J366" s="7"/>
    </row>
    <row r="367" spans="2:10" x14ac:dyDescent="0.15">
      <c r="B367"/>
      <c r="C367"/>
      <c r="D367"/>
      <c r="E367"/>
      <c r="F367" s="7"/>
      <c r="G367" s="7"/>
      <c r="H367" s="7"/>
      <c r="I367" s="7"/>
      <c r="J367" s="7"/>
    </row>
    <row r="368" spans="2:10" x14ac:dyDescent="0.15">
      <c r="B368"/>
      <c r="C368"/>
      <c r="D368"/>
      <c r="E368"/>
      <c r="F368" s="7"/>
      <c r="G368" s="7"/>
      <c r="H368" s="7"/>
      <c r="I368" s="7"/>
      <c r="J368" s="7"/>
    </row>
    <row r="369" spans="2:10" x14ac:dyDescent="0.15">
      <c r="B369"/>
      <c r="C369"/>
      <c r="D369"/>
      <c r="E369"/>
      <c r="F369" s="7"/>
      <c r="G369" s="7"/>
      <c r="H369" s="7"/>
      <c r="I369" s="7"/>
      <c r="J369" s="7"/>
    </row>
    <row r="370" spans="2:10" x14ac:dyDescent="0.15">
      <c r="B370"/>
      <c r="C370"/>
      <c r="D370"/>
      <c r="E370"/>
      <c r="F370" s="7"/>
      <c r="G370" s="7"/>
      <c r="H370" s="7"/>
      <c r="I370" s="7"/>
      <c r="J370" s="7"/>
    </row>
    <row r="371" spans="2:10" x14ac:dyDescent="0.15">
      <c r="B371"/>
      <c r="C371"/>
      <c r="D371"/>
      <c r="E371"/>
      <c r="F371" s="7"/>
      <c r="G371" s="7"/>
      <c r="H371" s="7"/>
      <c r="I371" s="7"/>
      <c r="J371" s="7"/>
    </row>
    <row r="372" spans="2:10" x14ac:dyDescent="0.15">
      <c r="B372"/>
      <c r="C372"/>
      <c r="D372"/>
      <c r="E372"/>
      <c r="F372" s="7"/>
      <c r="G372" s="7"/>
      <c r="H372" s="7"/>
      <c r="I372" s="7"/>
      <c r="J372" s="7"/>
    </row>
    <row r="373" spans="2:10" x14ac:dyDescent="0.15">
      <c r="B373"/>
      <c r="C373"/>
      <c r="D373"/>
      <c r="E373"/>
      <c r="F373" s="7"/>
      <c r="G373" s="7"/>
      <c r="H373" s="7"/>
      <c r="I373" s="7"/>
      <c r="J373" s="7"/>
    </row>
    <row r="374" spans="2:10" x14ac:dyDescent="0.15">
      <c r="B374"/>
      <c r="C374"/>
      <c r="D374"/>
      <c r="E374"/>
      <c r="F374" s="7"/>
      <c r="G374" s="7"/>
      <c r="H374" s="7"/>
      <c r="I374" s="7"/>
      <c r="J374" s="7"/>
    </row>
    <row r="375" spans="2:10" x14ac:dyDescent="0.15">
      <c r="B375"/>
      <c r="C375"/>
      <c r="D375"/>
      <c r="E375"/>
      <c r="F375" s="7"/>
      <c r="G375" s="7"/>
      <c r="H375" s="7"/>
      <c r="I375" s="7"/>
      <c r="J375" s="7"/>
    </row>
    <row r="376" spans="2:10" x14ac:dyDescent="0.15">
      <c r="B376"/>
      <c r="C376"/>
      <c r="D376"/>
      <c r="E376"/>
      <c r="F376" s="7"/>
      <c r="G376" s="7"/>
      <c r="H376" s="7"/>
      <c r="I376" s="7"/>
      <c r="J376" s="7"/>
    </row>
    <row r="377" spans="2:10" x14ac:dyDescent="0.15">
      <c r="B377"/>
      <c r="C377"/>
      <c r="D377"/>
      <c r="E377"/>
      <c r="F377" s="7"/>
      <c r="G377" s="7"/>
      <c r="H377" s="7"/>
      <c r="I377" s="7"/>
      <c r="J377" s="7"/>
    </row>
    <row r="378" spans="2:10" x14ac:dyDescent="0.15">
      <c r="B378"/>
      <c r="C378"/>
      <c r="D378"/>
      <c r="E378"/>
      <c r="F378" s="7"/>
      <c r="G378" s="7"/>
      <c r="H378" s="7"/>
      <c r="I378" s="7"/>
      <c r="J378" s="7"/>
    </row>
    <row r="379" spans="2:10" x14ac:dyDescent="0.15">
      <c r="B379"/>
      <c r="C379"/>
      <c r="D379"/>
      <c r="E379"/>
      <c r="F379" s="7"/>
      <c r="G379" s="7"/>
      <c r="H379" s="7"/>
      <c r="I379" s="7"/>
      <c r="J379" s="7"/>
    </row>
    <row r="380" spans="2:10" x14ac:dyDescent="0.15">
      <c r="B380"/>
      <c r="C380"/>
      <c r="D380"/>
      <c r="E380"/>
      <c r="F380" s="7"/>
      <c r="G380" s="7"/>
      <c r="H380" s="7"/>
      <c r="I380" s="7"/>
      <c r="J380" s="7"/>
    </row>
    <row r="381" spans="2:10" x14ac:dyDescent="0.15">
      <c r="B381"/>
      <c r="C381"/>
      <c r="D381"/>
      <c r="E381"/>
      <c r="F381" s="7"/>
      <c r="G381" s="7"/>
      <c r="H381" s="7"/>
      <c r="I381" s="7"/>
      <c r="J381" s="7"/>
    </row>
    <row r="382" spans="2:10" x14ac:dyDescent="0.15">
      <c r="B382"/>
      <c r="C382"/>
      <c r="D382"/>
      <c r="E382"/>
      <c r="F382" s="7"/>
      <c r="G382" s="7"/>
      <c r="H382" s="7"/>
      <c r="I382" s="7"/>
      <c r="J382" s="7"/>
    </row>
    <row r="383" spans="2:10" x14ac:dyDescent="0.15">
      <c r="B383"/>
      <c r="C383"/>
      <c r="D383"/>
      <c r="E383"/>
      <c r="F383" s="7"/>
      <c r="G383" s="7"/>
      <c r="H383" s="7"/>
      <c r="I383" s="7"/>
      <c r="J383" s="7"/>
    </row>
    <row r="384" spans="2:10" x14ac:dyDescent="0.15">
      <c r="B384"/>
      <c r="C384"/>
      <c r="D384"/>
      <c r="E384"/>
      <c r="F384" s="7"/>
      <c r="G384" s="7"/>
      <c r="H384" s="7"/>
      <c r="I384" s="7"/>
      <c r="J384" s="7"/>
    </row>
    <row r="385" spans="2:10" x14ac:dyDescent="0.15">
      <c r="B385"/>
      <c r="C385"/>
      <c r="D385"/>
      <c r="E385"/>
      <c r="F385" s="7"/>
      <c r="G385" s="7"/>
      <c r="H385" s="7"/>
      <c r="I385" s="7"/>
      <c r="J385" s="7"/>
    </row>
    <row r="386" spans="2:10" x14ac:dyDescent="0.15">
      <c r="B386"/>
      <c r="C386"/>
      <c r="D386"/>
      <c r="E386"/>
      <c r="F386" s="7"/>
      <c r="G386" s="7"/>
      <c r="H386" s="7"/>
      <c r="I386" s="7"/>
      <c r="J386" s="7"/>
    </row>
    <row r="387" spans="2:10" x14ac:dyDescent="0.15">
      <c r="B387"/>
      <c r="C387"/>
      <c r="D387"/>
      <c r="E387"/>
      <c r="F387" s="7"/>
      <c r="G387" s="7"/>
      <c r="H387" s="7"/>
      <c r="I387" s="7"/>
      <c r="J387" s="7"/>
    </row>
    <row r="388" spans="2:10" x14ac:dyDescent="0.15">
      <c r="B388"/>
      <c r="C388"/>
      <c r="D388"/>
      <c r="E388"/>
      <c r="F388" s="7"/>
      <c r="G388" s="7"/>
      <c r="H388" s="7"/>
      <c r="I388" s="7"/>
      <c r="J388" s="7"/>
    </row>
    <row r="389" spans="2:10" x14ac:dyDescent="0.15">
      <c r="B389"/>
      <c r="C389"/>
      <c r="D389"/>
      <c r="E389"/>
      <c r="F389" s="7"/>
      <c r="G389" s="7"/>
      <c r="H389" s="7"/>
      <c r="I389" s="7"/>
      <c r="J389" s="7"/>
    </row>
    <row r="390" spans="2:10" x14ac:dyDescent="0.15">
      <c r="B390"/>
      <c r="C390"/>
      <c r="D390"/>
      <c r="E390"/>
      <c r="F390" s="7"/>
      <c r="G390" s="7"/>
      <c r="H390" s="7"/>
      <c r="I390" s="7"/>
      <c r="J390" s="7"/>
    </row>
    <row r="391" spans="2:10" x14ac:dyDescent="0.15">
      <c r="B391"/>
      <c r="C391"/>
      <c r="D391"/>
      <c r="E391"/>
      <c r="F391" s="7"/>
      <c r="G391" s="7"/>
      <c r="H391" s="7"/>
      <c r="I391" s="7"/>
      <c r="J391" s="7"/>
    </row>
    <row r="392" spans="2:10" x14ac:dyDescent="0.15">
      <c r="B392"/>
      <c r="C392"/>
      <c r="D392"/>
      <c r="E392"/>
      <c r="F392" s="7"/>
      <c r="G392" s="7"/>
      <c r="H392" s="7"/>
      <c r="I392" s="7"/>
      <c r="J392" s="7"/>
    </row>
    <row r="393" spans="2:10" x14ac:dyDescent="0.15">
      <c r="B393"/>
      <c r="C393"/>
      <c r="D393"/>
      <c r="E393"/>
      <c r="F393" s="7"/>
      <c r="G393" s="7"/>
      <c r="H393" s="7"/>
      <c r="I393" s="7"/>
      <c r="J393" s="7"/>
    </row>
    <row r="394" spans="2:10" x14ac:dyDescent="0.15">
      <c r="B394"/>
      <c r="C394"/>
      <c r="D394"/>
      <c r="E394"/>
      <c r="F394" s="7"/>
      <c r="G394" s="7"/>
      <c r="H394" s="7"/>
      <c r="I394" s="7"/>
      <c r="J394" s="7"/>
    </row>
    <row r="395" spans="2:10" x14ac:dyDescent="0.15">
      <c r="B395"/>
      <c r="C395"/>
      <c r="D395"/>
      <c r="E395"/>
      <c r="F395" s="7"/>
      <c r="G395" s="7"/>
      <c r="H395" s="7"/>
      <c r="I395" s="7"/>
      <c r="J395" s="7"/>
    </row>
    <row r="396" spans="2:10" x14ac:dyDescent="0.15">
      <c r="B396"/>
      <c r="C396"/>
      <c r="D396"/>
      <c r="E396"/>
      <c r="F396" s="7"/>
      <c r="G396" s="7"/>
      <c r="H396" s="7"/>
      <c r="I396" s="7"/>
      <c r="J396" s="7"/>
    </row>
    <row r="397" spans="2:10" x14ac:dyDescent="0.15">
      <c r="B397"/>
      <c r="C397"/>
      <c r="D397"/>
      <c r="E397"/>
      <c r="F397" s="7"/>
      <c r="G397" s="7"/>
      <c r="H397" s="7"/>
      <c r="I397" s="7"/>
      <c r="J397" s="7"/>
    </row>
    <row r="398" spans="2:10" x14ac:dyDescent="0.15">
      <c r="B398"/>
      <c r="C398"/>
      <c r="D398"/>
      <c r="E398"/>
      <c r="F398" s="7"/>
      <c r="G398" s="7"/>
      <c r="H398" s="7"/>
      <c r="I398" s="7"/>
      <c r="J398" s="7"/>
    </row>
    <row r="399" spans="2:10" x14ac:dyDescent="0.15">
      <c r="B399"/>
      <c r="C399"/>
      <c r="D399"/>
      <c r="E399"/>
      <c r="F399" s="7"/>
      <c r="G399" s="7"/>
      <c r="H399" s="7"/>
      <c r="I399" s="7"/>
      <c r="J399" s="7"/>
    </row>
    <row r="400" spans="2:10" x14ac:dyDescent="0.15">
      <c r="B400"/>
      <c r="C400"/>
      <c r="D400"/>
      <c r="E400"/>
      <c r="F400" s="7"/>
      <c r="G400" s="7"/>
      <c r="H400" s="7"/>
      <c r="I400" s="7"/>
      <c r="J400" s="7"/>
    </row>
    <row r="401" spans="2:10" x14ac:dyDescent="0.15">
      <c r="B401"/>
      <c r="C401"/>
      <c r="D401"/>
      <c r="E401"/>
      <c r="F401" s="7"/>
      <c r="G401" s="7"/>
      <c r="H401" s="7"/>
      <c r="I401" s="7"/>
      <c r="J401" s="7"/>
    </row>
    <row r="402" spans="2:10" x14ac:dyDescent="0.15">
      <c r="B402"/>
      <c r="C402"/>
      <c r="D402"/>
      <c r="E402"/>
      <c r="F402" s="7"/>
      <c r="G402" s="7"/>
      <c r="H402" s="7"/>
      <c r="I402" s="7"/>
      <c r="J402" s="7"/>
    </row>
    <row r="403" spans="2:10" x14ac:dyDescent="0.15">
      <c r="B403"/>
      <c r="C403"/>
      <c r="D403"/>
      <c r="E403"/>
      <c r="F403" s="7"/>
      <c r="G403" s="7"/>
      <c r="H403" s="7"/>
      <c r="I403" s="7"/>
      <c r="J403" s="7"/>
    </row>
    <row r="404" spans="2:10" x14ac:dyDescent="0.15">
      <c r="B404"/>
      <c r="C404"/>
      <c r="D404"/>
      <c r="E404"/>
      <c r="F404" s="7"/>
      <c r="G404" s="7"/>
      <c r="H404" s="7"/>
      <c r="I404" s="7"/>
      <c r="J404" s="7"/>
    </row>
    <row r="405" spans="2:10" x14ac:dyDescent="0.15">
      <c r="B405"/>
      <c r="C405"/>
      <c r="D405"/>
      <c r="E405"/>
      <c r="F405" s="7"/>
      <c r="G405" s="7"/>
      <c r="H405" s="7"/>
      <c r="I405" s="7"/>
      <c r="J405" s="7"/>
    </row>
    <row r="406" spans="2:10" x14ac:dyDescent="0.15">
      <c r="B406"/>
      <c r="C406"/>
      <c r="D406"/>
      <c r="E406"/>
      <c r="F406" s="7"/>
      <c r="G406" s="7"/>
      <c r="H406" s="7"/>
      <c r="I406" s="7"/>
      <c r="J406" s="7"/>
    </row>
    <row r="407" spans="2:10" x14ac:dyDescent="0.15">
      <c r="B407"/>
      <c r="C407"/>
      <c r="D407"/>
      <c r="E407"/>
      <c r="F407" s="7"/>
      <c r="G407" s="7"/>
      <c r="H407" s="7"/>
      <c r="I407" s="7"/>
      <c r="J407" s="7"/>
    </row>
    <row r="408" spans="2:10" x14ac:dyDescent="0.15">
      <c r="B408"/>
      <c r="C408"/>
      <c r="D408"/>
      <c r="E408"/>
      <c r="F408" s="7"/>
      <c r="G408" s="7"/>
      <c r="H408" s="7"/>
      <c r="I408" s="7"/>
      <c r="J408" s="7"/>
    </row>
    <row r="409" spans="2:10" x14ac:dyDescent="0.15">
      <c r="B409"/>
      <c r="C409"/>
      <c r="D409"/>
      <c r="E409"/>
      <c r="F409" s="7"/>
      <c r="G409" s="7"/>
      <c r="H409" s="7"/>
      <c r="I409" s="7"/>
      <c r="J409" s="7"/>
    </row>
    <row r="410" spans="2:10" x14ac:dyDescent="0.15">
      <c r="B410"/>
      <c r="C410"/>
      <c r="D410"/>
      <c r="E410"/>
      <c r="F410" s="7"/>
      <c r="G410" s="7"/>
      <c r="H410" s="7"/>
      <c r="I410" s="7"/>
      <c r="J410" s="7"/>
    </row>
    <row r="411" spans="2:10" x14ac:dyDescent="0.15">
      <c r="B411"/>
      <c r="C411"/>
      <c r="D411"/>
      <c r="E411"/>
      <c r="F411" s="7"/>
      <c r="G411" s="7"/>
      <c r="H411" s="7"/>
      <c r="I411" s="7"/>
      <c r="J411" s="7"/>
    </row>
    <row r="412" spans="2:10" x14ac:dyDescent="0.15">
      <c r="B412"/>
      <c r="C412"/>
      <c r="D412"/>
      <c r="E412"/>
      <c r="F412" s="7"/>
      <c r="G412" s="7"/>
      <c r="H412" s="7"/>
      <c r="I412" s="7"/>
      <c r="J412" s="7"/>
    </row>
    <row r="413" spans="2:10" x14ac:dyDescent="0.15">
      <c r="B413"/>
      <c r="C413"/>
      <c r="D413"/>
      <c r="E413"/>
      <c r="F413" s="7"/>
      <c r="G413" s="7"/>
      <c r="H413" s="7"/>
      <c r="I413" s="7"/>
      <c r="J413" s="7"/>
    </row>
    <row r="414" spans="2:10" x14ac:dyDescent="0.15">
      <c r="B414"/>
      <c r="C414"/>
      <c r="D414"/>
      <c r="E414"/>
      <c r="F414" s="7"/>
      <c r="G414" s="7"/>
      <c r="H414" s="7"/>
      <c r="I414" s="7"/>
      <c r="J414" s="7"/>
    </row>
    <row r="415" spans="2:10" x14ac:dyDescent="0.15">
      <c r="B415"/>
      <c r="C415"/>
      <c r="D415"/>
      <c r="E415"/>
      <c r="F415" s="7"/>
      <c r="G415" s="7"/>
      <c r="H415" s="7"/>
      <c r="I415" s="7"/>
      <c r="J415" s="7"/>
    </row>
    <row r="416" spans="2:10" x14ac:dyDescent="0.15">
      <c r="B416"/>
      <c r="C416"/>
      <c r="D416"/>
      <c r="E416"/>
      <c r="F416" s="7"/>
      <c r="G416" s="7"/>
      <c r="H416" s="7"/>
      <c r="I416" s="7"/>
      <c r="J416" s="7"/>
    </row>
    <row r="417" spans="2:10" x14ac:dyDescent="0.15">
      <c r="B417"/>
      <c r="C417"/>
      <c r="D417"/>
      <c r="E417"/>
      <c r="F417" s="7"/>
      <c r="G417" s="7"/>
      <c r="H417" s="7"/>
      <c r="I417" s="7"/>
      <c r="J417" s="7"/>
    </row>
    <row r="418" spans="2:10" x14ac:dyDescent="0.15">
      <c r="B418"/>
      <c r="C418"/>
      <c r="D418"/>
      <c r="E418"/>
      <c r="F418" s="7"/>
      <c r="G418" s="7"/>
      <c r="H418" s="7"/>
      <c r="I418" s="7"/>
      <c r="J418" s="7"/>
    </row>
    <row r="419" spans="2:10" x14ac:dyDescent="0.15">
      <c r="B419"/>
      <c r="C419"/>
      <c r="D419"/>
      <c r="E419"/>
      <c r="F419" s="7"/>
      <c r="G419" s="7"/>
      <c r="H419" s="7"/>
      <c r="I419" s="7"/>
      <c r="J419" s="7"/>
    </row>
    <row r="420" spans="2:10" x14ac:dyDescent="0.15">
      <c r="B420"/>
      <c r="C420"/>
      <c r="D420"/>
      <c r="E420"/>
      <c r="F420" s="7"/>
      <c r="G420" s="7"/>
      <c r="H420" s="7"/>
      <c r="I420" s="7"/>
      <c r="J420" s="7"/>
    </row>
    <row r="421" spans="2:10" x14ac:dyDescent="0.15">
      <c r="B421"/>
      <c r="C421"/>
      <c r="D421"/>
      <c r="E421"/>
      <c r="F421" s="7"/>
      <c r="G421" s="7"/>
      <c r="H421" s="7"/>
      <c r="I421" s="7"/>
      <c r="J421" s="7"/>
    </row>
    <row r="422" spans="2:10" x14ac:dyDescent="0.15">
      <c r="B422"/>
      <c r="C422"/>
      <c r="D422"/>
      <c r="E422"/>
      <c r="F422" s="7"/>
      <c r="G422" s="7"/>
      <c r="H422" s="7"/>
      <c r="I422" s="7"/>
      <c r="J422" s="7"/>
    </row>
    <row r="423" spans="2:10" x14ac:dyDescent="0.15">
      <c r="B423"/>
      <c r="C423"/>
      <c r="D423"/>
      <c r="E423"/>
      <c r="F423" s="7"/>
      <c r="G423" s="7"/>
      <c r="H423" s="7"/>
      <c r="I423" s="7"/>
      <c r="J423" s="7"/>
    </row>
    <row r="424" spans="2:10" x14ac:dyDescent="0.15">
      <c r="B424"/>
      <c r="C424"/>
      <c r="D424"/>
      <c r="E424"/>
      <c r="F424" s="7"/>
      <c r="G424" s="7"/>
      <c r="H424" s="7"/>
      <c r="I424" s="7"/>
      <c r="J424" s="7"/>
    </row>
    <row r="425" spans="2:10" x14ac:dyDescent="0.15">
      <c r="B425"/>
      <c r="C425"/>
      <c r="D425"/>
      <c r="E425"/>
      <c r="F425" s="7"/>
      <c r="G425" s="7"/>
      <c r="H425" s="7"/>
      <c r="I425" s="7"/>
      <c r="J425" s="7"/>
    </row>
    <row r="426" spans="2:10" x14ac:dyDescent="0.15">
      <c r="B426"/>
      <c r="C426"/>
      <c r="D426"/>
      <c r="E426"/>
      <c r="F426" s="7"/>
      <c r="G426" s="7"/>
      <c r="H426" s="7"/>
      <c r="I426" s="7"/>
      <c r="J426" s="7"/>
    </row>
    <row r="427" spans="2:10" x14ac:dyDescent="0.15">
      <c r="B427"/>
      <c r="C427"/>
      <c r="D427"/>
      <c r="E427"/>
      <c r="F427" s="7"/>
      <c r="G427" s="7"/>
      <c r="H427" s="7"/>
      <c r="I427" s="7"/>
      <c r="J427" s="7"/>
    </row>
    <row r="428" spans="2:10" x14ac:dyDescent="0.15">
      <c r="B428"/>
      <c r="C428"/>
      <c r="D428"/>
      <c r="E428"/>
      <c r="F428" s="7"/>
      <c r="G428" s="7"/>
      <c r="H428" s="7"/>
      <c r="I428" s="7"/>
      <c r="J428" s="7"/>
    </row>
    <row r="429" spans="2:10" x14ac:dyDescent="0.15">
      <c r="B429"/>
      <c r="C429"/>
      <c r="D429"/>
      <c r="E429"/>
      <c r="F429" s="7"/>
      <c r="G429" s="7"/>
      <c r="H429" s="7"/>
      <c r="I429" s="7"/>
      <c r="J429" s="7"/>
    </row>
    <row r="430" spans="2:10" x14ac:dyDescent="0.15">
      <c r="B430"/>
      <c r="C430"/>
      <c r="D430"/>
      <c r="E430"/>
      <c r="F430" s="7"/>
      <c r="G430" s="7"/>
      <c r="H430" s="7"/>
      <c r="I430" s="7"/>
      <c r="J430" s="7"/>
    </row>
    <row r="431" spans="2:10" x14ac:dyDescent="0.15">
      <c r="B431"/>
      <c r="C431"/>
      <c r="D431"/>
      <c r="E431"/>
      <c r="F431" s="7"/>
      <c r="G431" s="7"/>
      <c r="H431" s="7"/>
      <c r="I431" s="7"/>
      <c r="J431" s="7"/>
    </row>
    <row r="432" spans="2:10" x14ac:dyDescent="0.15">
      <c r="B432"/>
      <c r="C432"/>
      <c r="D432"/>
      <c r="E432"/>
      <c r="F432" s="7"/>
      <c r="G432" s="7"/>
      <c r="H432" s="7"/>
      <c r="I432" s="7"/>
      <c r="J432" s="7"/>
    </row>
    <row r="433" spans="2:10" x14ac:dyDescent="0.15">
      <c r="B433"/>
      <c r="C433"/>
      <c r="D433"/>
      <c r="E433"/>
      <c r="F433" s="7"/>
      <c r="G433" s="7"/>
      <c r="H433" s="7"/>
      <c r="I433" s="7"/>
      <c r="J433" s="7"/>
    </row>
    <row r="434" spans="2:10" x14ac:dyDescent="0.15">
      <c r="B434"/>
      <c r="C434"/>
      <c r="D434"/>
      <c r="E434"/>
      <c r="F434" s="7"/>
      <c r="G434" s="7"/>
      <c r="H434" s="7"/>
      <c r="I434" s="7"/>
      <c r="J434" s="7"/>
    </row>
    <row r="435" spans="2:10" x14ac:dyDescent="0.15">
      <c r="B435"/>
      <c r="C435"/>
      <c r="D435"/>
      <c r="E435"/>
      <c r="F435" s="7"/>
      <c r="G435" s="7"/>
      <c r="H435" s="7"/>
      <c r="I435" s="7"/>
      <c r="J435" s="7"/>
    </row>
    <row r="436" spans="2:10" x14ac:dyDescent="0.15">
      <c r="B436"/>
      <c r="C436"/>
      <c r="D436"/>
      <c r="E436"/>
      <c r="F436" s="7"/>
      <c r="G436" s="7"/>
      <c r="H436" s="7"/>
      <c r="I436" s="7"/>
      <c r="J436" s="7"/>
    </row>
    <row r="437" spans="2:10" x14ac:dyDescent="0.15">
      <c r="B437"/>
      <c r="C437"/>
      <c r="D437"/>
      <c r="E437"/>
      <c r="F437" s="7"/>
      <c r="G437" s="7"/>
      <c r="H437" s="7"/>
      <c r="I437" s="7"/>
      <c r="J437" s="7"/>
    </row>
    <row r="438" spans="2:10" x14ac:dyDescent="0.15">
      <c r="B438"/>
      <c r="C438"/>
      <c r="D438"/>
      <c r="E438"/>
      <c r="F438" s="7"/>
      <c r="G438" s="7"/>
      <c r="H438" s="7"/>
      <c r="I438" s="7"/>
      <c r="J438" s="7"/>
    </row>
    <row r="439" spans="2:10" x14ac:dyDescent="0.15">
      <c r="B439"/>
      <c r="C439"/>
      <c r="D439"/>
      <c r="E439"/>
      <c r="F439" s="7"/>
      <c r="G439" s="7"/>
      <c r="H439" s="7"/>
      <c r="I439" s="7"/>
      <c r="J439" s="7"/>
    </row>
    <row r="440" spans="2:10" x14ac:dyDescent="0.15">
      <c r="B440"/>
      <c r="C440"/>
      <c r="D440"/>
      <c r="E440"/>
      <c r="F440" s="7"/>
      <c r="G440" s="7"/>
      <c r="H440" s="7"/>
      <c r="I440" s="7"/>
      <c r="J440" s="7"/>
    </row>
    <row r="441" spans="2:10" x14ac:dyDescent="0.15">
      <c r="B441"/>
      <c r="C441"/>
      <c r="D441"/>
      <c r="E441"/>
      <c r="F441" s="7"/>
      <c r="G441" s="7"/>
      <c r="H441" s="7"/>
      <c r="I441" s="7"/>
      <c r="J441" s="7"/>
    </row>
    <row r="442" spans="2:10" x14ac:dyDescent="0.15">
      <c r="B442"/>
      <c r="C442"/>
      <c r="D442"/>
      <c r="E442"/>
      <c r="F442" s="7"/>
      <c r="G442" s="7"/>
      <c r="H442" s="7"/>
      <c r="I442" s="7"/>
      <c r="J442" s="7"/>
    </row>
    <row r="443" spans="2:10" x14ac:dyDescent="0.15">
      <c r="B443"/>
      <c r="C443"/>
      <c r="D443"/>
      <c r="E443"/>
      <c r="F443" s="7"/>
      <c r="G443" s="7"/>
      <c r="H443" s="7"/>
      <c r="I443" s="7"/>
      <c r="J443" s="7"/>
    </row>
    <row r="444" spans="2:10" x14ac:dyDescent="0.15">
      <c r="B444"/>
      <c r="C444"/>
      <c r="D444"/>
      <c r="E444"/>
      <c r="F444" s="7"/>
      <c r="G444" s="7"/>
      <c r="H444" s="7"/>
      <c r="I444" s="7"/>
      <c r="J444" s="7"/>
    </row>
    <row r="445" spans="2:10" x14ac:dyDescent="0.15">
      <c r="B445"/>
      <c r="C445"/>
      <c r="D445"/>
      <c r="E445"/>
      <c r="F445" s="7"/>
      <c r="G445" s="7"/>
      <c r="H445" s="7"/>
      <c r="I445" s="7"/>
      <c r="J445" s="7"/>
    </row>
    <row r="446" spans="2:10" x14ac:dyDescent="0.15">
      <c r="B446"/>
      <c r="C446"/>
      <c r="D446"/>
      <c r="E446"/>
      <c r="F446" s="7"/>
      <c r="G446" s="7"/>
      <c r="H446" s="7"/>
      <c r="I446" s="7"/>
      <c r="J446" s="7"/>
    </row>
    <row r="447" spans="2:10" x14ac:dyDescent="0.15">
      <c r="B447"/>
      <c r="C447"/>
      <c r="D447"/>
      <c r="E447"/>
      <c r="F447" s="7"/>
      <c r="G447" s="7"/>
      <c r="H447" s="7"/>
      <c r="I447" s="7"/>
      <c r="J447" s="7"/>
    </row>
    <row r="448" spans="2:10" x14ac:dyDescent="0.15">
      <c r="B448"/>
      <c r="C448"/>
      <c r="D448"/>
      <c r="E448"/>
      <c r="F448" s="7"/>
      <c r="G448" s="7"/>
      <c r="H448" s="7"/>
      <c r="I448" s="7"/>
      <c r="J448" s="7"/>
    </row>
    <row r="449" spans="2:10" x14ac:dyDescent="0.15">
      <c r="B449"/>
      <c r="C449"/>
      <c r="D449"/>
      <c r="E449"/>
      <c r="F449" s="7"/>
      <c r="G449" s="7"/>
      <c r="H449" s="7"/>
      <c r="I449" s="7"/>
      <c r="J449" s="7"/>
    </row>
    <row r="450" spans="2:10" x14ac:dyDescent="0.15">
      <c r="B450"/>
      <c r="C450"/>
      <c r="D450"/>
      <c r="E450"/>
      <c r="F450" s="7"/>
      <c r="G450" s="7"/>
      <c r="H450" s="7"/>
      <c r="I450" s="7"/>
      <c r="J450" s="7"/>
    </row>
    <row r="451" spans="2:10" x14ac:dyDescent="0.15">
      <c r="B451"/>
      <c r="C451"/>
      <c r="D451"/>
      <c r="E451"/>
      <c r="F451" s="7"/>
      <c r="G451" s="7"/>
      <c r="H451" s="7"/>
      <c r="I451" s="7"/>
      <c r="J451" s="7"/>
    </row>
    <row r="452" spans="2:10" x14ac:dyDescent="0.15">
      <c r="B452"/>
      <c r="C452"/>
      <c r="D452"/>
      <c r="E452"/>
      <c r="F452" s="7"/>
      <c r="G452" s="7"/>
      <c r="H452" s="7"/>
      <c r="I452" s="7"/>
      <c r="J452" s="7"/>
    </row>
    <row r="453" spans="2:10" x14ac:dyDescent="0.15">
      <c r="B453"/>
      <c r="C453"/>
      <c r="D453"/>
      <c r="E453"/>
      <c r="F453" s="7"/>
      <c r="G453" s="7"/>
      <c r="H453" s="7"/>
      <c r="I453" s="7"/>
      <c r="J453" s="7"/>
    </row>
    <row r="454" spans="2:10" x14ac:dyDescent="0.15">
      <c r="B454"/>
      <c r="C454"/>
      <c r="D454"/>
      <c r="E454"/>
      <c r="F454" s="7"/>
      <c r="G454" s="7"/>
      <c r="H454" s="7"/>
      <c r="I454" s="7"/>
      <c r="J454" s="7"/>
    </row>
    <row r="455" spans="2:10" x14ac:dyDescent="0.15">
      <c r="B455"/>
      <c r="C455"/>
      <c r="D455"/>
      <c r="E455"/>
      <c r="F455" s="7"/>
      <c r="G455" s="7"/>
      <c r="H455" s="7"/>
      <c r="I455" s="7"/>
      <c r="J455" s="7"/>
    </row>
    <row r="456" spans="2:10" x14ac:dyDescent="0.15">
      <c r="B456"/>
      <c r="C456"/>
      <c r="D456"/>
      <c r="E456"/>
      <c r="F456" s="7"/>
      <c r="G456" s="7"/>
      <c r="H456" s="7"/>
      <c r="I456" s="7"/>
      <c r="J456" s="7"/>
    </row>
    <row r="457" spans="2:10" x14ac:dyDescent="0.15">
      <c r="B457"/>
      <c r="C457"/>
      <c r="D457"/>
      <c r="E457"/>
      <c r="F457" s="7"/>
      <c r="G457" s="7"/>
      <c r="H457" s="7"/>
      <c r="I457" s="7"/>
      <c r="J457" s="7"/>
    </row>
    <row r="458" spans="2:10" x14ac:dyDescent="0.15">
      <c r="B458"/>
      <c r="C458"/>
      <c r="D458"/>
      <c r="E458"/>
      <c r="F458" s="7"/>
      <c r="G458" s="7"/>
      <c r="H458" s="7"/>
      <c r="I458" s="7"/>
      <c r="J458" s="7"/>
    </row>
    <row r="459" spans="2:10" x14ac:dyDescent="0.15">
      <c r="B459"/>
      <c r="C459"/>
      <c r="D459"/>
      <c r="E459"/>
      <c r="F459" s="7"/>
      <c r="G459" s="7"/>
      <c r="H459" s="7"/>
      <c r="I459" s="7"/>
      <c r="J459" s="7"/>
    </row>
    <row r="460" spans="2:10" x14ac:dyDescent="0.15">
      <c r="B460"/>
      <c r="C460"/>
      <c r="D460"/>
      <c r="E460"/>
      <c r="F460" s="7"/>
      <c r="G460" s="7"/>
      <c r="H460" s="7"/>
      <c r="I460" s="7"/>
      <c r="J460" s="7"/>
    </row>
    <row r="461" spans="2:10" x14ac:dyDescent="0.15">
      <c r="B461"/>
      <c r="C461"/>
      <c r="D461"/>
      <c r="E461"/>
      <c r="F461" s="7"/>
      <c r="G461" s="7"/>
      <c r="H461" s="7"/>
      <c r="I461" s="7"/>
      <c r="J461" s="7"/>
    </row>
    <row r="462" spans="2:10" x14ac:dyDescent="0.15">
      <c r="B462"/>
      <c r="C462"/>
      <c r="D462"/>
      <c r="E462"/>
      <c r="F462" s="7"/>
      <c r="G462" s="7"/>
      <c r="H462" s="7"/>
      <c r="I462" s="7"/>
      <c r="J462" s="7"/>
    </row>
    <row r="463" spans="2:10" x14ac:dyDescent="0.15">
      <c r="B463"/>
      <c r="C463"/>
      <c r="D463"/>
      <c r="E463"/>
      <c r="F463" s="7"/>
      <c r="G463" s="7"/>
      <c r="H463" s="7"/>
      <c r="I463" s="7"/>
      <c r="J463" s="7"/>
    </row>
    <row r="464" spans="2:10" x14ac:dyDescent="0.15">
      <c r="B464"/>
      <c r="C464"/>
      <c r="D464"/>
      <c r="E464"/>
      <c r="F464" s="7"/>
      <c r="G464" s="7"/>
      <c r="H464" s="7"/>
      <c r="I464" s="7"/>
      <c r="J464" s="7"/>
    </row>
    <row r="465" spans="2:10" x14ac:dyDescent="0.15">
      <c r="B465"/>
      <c r="C465"/>
      <c r="D465"/>
      <c r="E465"/>
      <c r="F465" s="7"/>
      <c r="G465" s="7"/>
      <c r="H465" s="7"/>
      <c r="I465" s="7"/>
      <c r="J465" s="7"/>
    </row>
    <row r="466" spans="2:10" x14ac:dyDescent="0.15">
      <c r="B466"/>
      <c r="C466"/>
      <c r="D466"/>
      <c r="E466"/>
      <c r="F466" s="7"/>
      <c r="G466" s="7"/>
      <c r="H466" s="7"/>
      <c r="I466" s="7"/>
      <c r="J466" s="7"/>
    </row>
    <row r="467" spans="2:10" x14ac:dyDescent="0.15">
      <c r="B467"/>
      <c r="C467"/>
      <c r="D467"/>
      <c r="E467"/>
      <c r="F467" s="7"/>
      <c r="G467" s="7"/>
      <c r="H467" s="7"/>
      <c r="I467" s="7"/>
      <c r="J467" s="7"/>
    </row>
    <row r="468" spans="2:10" x14ac:dyDescent="0.15">
      <c r="B468"/>
      <c r="C468"/>
      <c r="D468"/>
      <c r="E468"/>
      <c r="F468" s="7"/>
      <c r="G468" s="7"/>
      <c r="H468" s="7"/>
      <c r="I468" s="7"/>
      <c r="J468" s="7"/>
    </row>
    <row r="469" spans="2:10" x14ac:dyDescent="0.15">
      <c r="B469"/>
      <c r="C469"/>
      <c r="D469"/>
      <c r="E469"/>
      <c r="F469" s="7"/>
      <c r="G469" s="7"/>
      <c r="H469" s="7"/>
      <c r="I469" s="7"/>
      <c r="J469" s="7"/>
    </row>
    <row r="470" spans="2:10" x14ac:dyDescent="0.15">
      <c r="B470"/>
      <c r="C470"/>
      <c r="D470"/>
      <c r="E470"/>
      <c r="F470" s="7"/>
      <c r="G470" s="7"/>
      <c r="H470" s="7"/>
      <c r="I470" s="7"/>
      <c r="J470" s="7"/>
    </row>
    <row r="471" spans="2:10" x14ac:dyDescent="0.15">
      <c r="B471"/>
      <c r="C471"/>
      <c r="D471"/>
      <c r="E471"/>
      <c r="F471" s="7"/>
      <c r="G471" s="7"/>
      <c r="H471" s="7"/>
      <c r="I471" s="7"/>
      <c r="J471" s="7"/>
    </row>
    <row r="472" spans="2:10" x14ac:dyDescent="0.15">
      <c r="B472"/>
      <c r="C472"/>
      <c r="D472"/>
      <c r="E472"/>
      <c r="F472" s="7"/>
      <c r="G472" s="7"/>
      <c r="H472" s="7"/>
      <c r="I472" s="7"/>
      <c r="J472" s="7"/>
    </row>
    <row r="473" spans="2:10" x14ac:dyDescent="0.15">
      <c r="B473"/>
      <c r="C473"/>
      <c r="D473"/>
      <c r="E473"/>
      <c r="F473" s="7"/>
      <c r="G473" s="7"/>
      <c r="H473" s="7"/>
      <c r="I473" s="7"/>
      <c r="J473" s="7"/>
    </row>
    <row r="474" spans="2:10" x14ac:dyDescent="0.15">
      <c r="B474"/>
      <c r="C474"/>
      <c r="D474"/>
      <c r="E474"/>
      <c r="F474" s="7"/>
      <c r="G474" s="7"/>
      <c r="H474" s="7"/>
      <c r="I474" s="7"/>
      <c r="J474" s="7"/>
    </row>
    <row r="475" spans="2:10" x14ac:dyDescent="0.15">
      <c r="B475"/>
      <c r="C475"/>
      <c r="D475"/>
      <c r="E475"/>
      <c r="F475" s="7"/>
      <c r="G475" s="7"/>
      <c r="H475" s="7"/>
      <c r="I475" s="7"/>
      <c r="J475" s="7"/>
    </row>
    <row r="476" spans="2:10" x14ac:dyDescent="0.15">
      <c r="B476"/>
      <c r="C476"/>
      <c r="D476"/>
      <c r="E476"/>
      <c r="F476" s="7"/>
      <c r="G476" s="7"/>
      <c r="H476" s="7"/>
      <c r="I476" s="7"/>
      <c r="J476" s="7"/>
    </row>
    <row r="477" spans="2:10" x14ac:dyDescent="0.15">
      <c r="B477"/>
      <c r="C477"/>
      <c r="D477"/>
      <c r="E477"/>
      <c r="F477" s="7"/>
      <c r="G477" s="7"/>
      <c r="H477" s="7"/>
      <c r="I477" s="7"/>
      <c r="J477" s="7"/>
    </row>
    <row r="478" spans="2:10" x14ac:dyDescent="0.15">
      <c r="B478"/>
      <c r="C478"/>
      <c r="D478"/>
      <c r="E478"/>
      <c r="F478" s="7"/>
      <c r="G478" s="7"/>
      <c r="H478" s="7"/>
      <c r="I478" s="7"/>
      <c r="J478" s="7"/>
    </row>
    <row r="479" spans="2:10" x14ac:dyDescent="0.15">
      <c r="B479"/>
      <c r="C479"/>
      <c r="D479"/>
      <c r="E479"/>
      <c r="F479" s="7"/>
      <c r="G479" s="7"/>
      <c r="H479" s="7"/>
      <c r="I479" s="7"/>
      <c r="J479" s="7"/>
    </row>
    <row r="480" spans="2:10" x14ac:dyDescent="0.15">
      <c r="B480"/>
      <c r="C480"/>
      <c r="D480"/>
      <c r="E480"/>
      <c r="F480" s="7"/>
      <c r="G480" s="7"/>
      <c r="H480" s="7"/>
      <c r="I480" s="7"/>
      <c r="J480" s="7"/>
    </row>
    <row r="481" spans="2:10" x14ac:dyDescent="0.15">
      <c r="B481"/>
      <c r="C481"/>
      <c r="D481"/>
      <c r="E481"/>
      <c r="F481" s="7"/>
      <c r="G481" s="7"/>
      <c r="H481" s="7"/>
      <c r="I481" s="7"/>
      <c r="J481" s="7"/>
    </row>
    <row r="482" spans="2:10" x14ac:dyDescent="0.15">
      <c r="B482"/>
      <c r="C482"/>
      <c r="D482"/>
      <c r="E482"/>
      <c r="F482" s="7"/>
      <c r="G482" s="7"/>
      <c r="H482" s="7"/>
      <c r="I482" s="7"/>
      <c r="J482" s="7"/>
    </row>
    <row r="483" spans="2:10" x14ac:dyDescent="0.15">
      <c r="B483"/>
      <c r="C483"/>
      <c r="D483"/>
      <c r="E483"/>
      <c r="F483" s="7"/>
      <c r="G483" s="7"/>
      <c r="H483" s="7"/>
      <c r="I483" s="7"/>
      <c r="J483" s="7"/>
    </row>
    <row r="484" spans="2:10" x14ac:dyDescent="0.15">
      <c r="B484"/>
      <c r="C484"/>
      <c r="D484"/>
      <c r="E484"/>
      <c r="F484" s="7"/>
      <c r="G484" s="7"/>
      <c r="H484" s="7"/>
      <c r="I484" s="7"/>
      <c r="J484" s="7"/>
    </row>
    <row r="485" spans="2:10" x14ac:dyDescent="0.15">
      <c r="B485"/>
      <c r="C485"/>
      <c r="D485"/>
      <c r="E485"/>
      <c r="F485" s="7"/>
      <c r="G485" s="7"/>
      <c r="H485" s="7"/>
      <c r="I485" s="7"/>
      <c r="J485" s="7"/>
    </row>
    <row r="486" spans="2:10" x14ac:dyDescent="0.15">
      <c r="B486"/>
      <c r="C486"/>
      <c r="D486"/>
      <c r="E486"/>
      <c r="F486" s="7"/>
      <c r="G486" s="7"/>
      <c r="H486" s="7"/>
      <c r="I486" s="7"/>
      <c r="J486" s="7"/>
    </row>
    <row r="487" spans="2:10" x14ac:dyDescent="0.15">
      <c r="B487"/>
      <c r="C487"/>
      <c r="D487"/>
      <c r="E487"/>
      <c r="F487" s="7"/>
      <c r="G487" s="7"/>
      <c r="H487" s="7"/>
      <c r="I487" s="7"/>
      <c r="J487" s="7"/>
    </row>
    <row r="488" spans="2:10" x14ac:dyDescent="0.15">
      <c r="B488"/>
      <c r="C488"/>
      <c r="D488"/>
      <c r="E488"/>
      <c r="F488" s="7"/>
      <c r="G488" s="7"/>
      <c r="H488" s="7"/>
      <c r="I488" s="7"/>
      <c r="J488" s="7"/>
    </row>
    <row r="489" spans="2:10" x14ac:dyDescent="0.15">
      <c r="B489"/>
      <c r="C489"/>
      <c r="D489"/>
      <c r="E489"/>
      <c r="F489" s="7"/>
      <c r="G489" s="7"/>
      <c r="H489" s="7"/>
      <c r="I489" s="7"/>
      <c r="J489" s="7"/>
    </row>
    <row r="490" spans="2:10" x14ac:dyDescent="0.15">
      <c r="B490"/>
      <c r="C490"/>
      <c r="D490"/>
      <c r="E490"/>
      <c r="F490" s="7"/>
      <c r="G490" s="7"/>
      <c r="H490" s="7"/>
      <c r="I490" s="7"/>
      <c r="J490" s="7"/>
    </row>
    <row r="491" spans="2:10" x14ac:dyDescent="0.15">
      <c r="B491"/>
      <c r="C491"/>
      <c r="D491"/>
      <c r="E491"/>
      <c r="F491" s="7"/>
      <c r="G491" s="7"/>
      <c r="H491" s="7"/>
      <c r="I491" s="7"/>
      <c r="J491" s="7"/>
    </row>
    <row r="492" spans="2:10" x14ac:dyDescent="0.15">
      <c r="B492"/>
      <c r="C492"/>
      <c r="D492"/>
      <c r="E492"/>
      <c r="F492" s="7"/>
      <c r="G492" s="7"/>
      <c r="H492" s="7"/>
      <c r="I492" s="7"/>
      <c r="J492" s="7"/>
    </row>
    <row r="493" spans="2:10" x14ac:dyDescent="0.15">
      <c r="B493"/>
      <c r="C493"/>
      <c r="D493"/>
      <c r="E493"/>
      <c r="F493" s="7"/>
      <c r="G493" s="7"/>
      <c r="H493" s="7"/>
      <c r="I493" s="7"/>
      <c r="J493" s="7"/>
    </row>
    <row r="494" spans="2:10" x14ac:dyDescent="0.15">
      <c r="B494"/>
      <c r="C494"/>
      <c r="D494"/>
      <c r="E494"/>
      <c r="F494" s="7"/>
      <c r="G494" s="7"/>
      <c r="H494" s="7"/>
      <c r="I494" s="7"/>
      <c r="J494" s="7"/>
    </row>
    <row r="495" spans="2:10" x14ac:dyDescent="0.15">
      <c r="B495"/>
      <c r="C495"/>
      <c r="D495"/>
      <c r="E495"/>
      <c r="F495" s="7"/>
      <c r="G495" s="7"/>
      <c r="H495" s="7"/>
      <c r="I495" s="7"/>
      <c r="J495" s="7"/>
    </row>
    <row r="496" spans="2:10" x14ac:dyDescent="0.15">
      <c r="B496"/>
      <c r="C496"/>
      <c r="D496"/>
      <c r="E496"/>
      <c r="F496" s="7"/>
      <c r="G496" s="7"/>
      <c r="H496" s="7"/>
      <c r="I496" s="7"/>
      <c r="J496" s="7"/>
    </row>
    <row r="497" spans="2:10" x14ac:dyDescent="0.15">
      <c r="B497"/>
      <c r="C497"/>
      <c r="D497"/>
      <c r="E497"/>
      <c r="F497" s="7"/>
      <c r="G497" s="7"/>
      <c r="H497" s="7"/>
      <c r="I497" s="7"/>
      <c r="J497" s="7"/>
    </row>
    <row r="498" spans="2:10" x14ac:dyDescent="0.15">
      <c r="B498"/>
      <c r="C498"/>
      <c r="D498"/>
      <c r="E498"/>
      <c r="F498" s="7"/>
      <c r="G498" s="7"/>
      <c r="H498" s="7"/>
      <c r="I498" s="7"/>
      <c r="J498" s="7"/>
    </row>
    <row r="499" spans="2:10" x14ac:dyDescent="0.15">
      <c r="B499"/>
      <c r="C499"/>
      <c r="D499"/>
      <c r="E499"/>
      <c r="F499" s="7"/>
      <c r="G499" s="7"/>
      <c r="H499" s="7"/>
      <c r="I499" s="7"/>
      <c r="J499" s="7"/>
    </row>
    <row r="500" spans="2:10" x14ac:dyDescent="0.15">
      <c r="B500"/>
      <c r="C500"/>
      <c r="D500"/>
      <c r="E500"/>
      <c r="F500" s="7"/>
      <c r="G500" s="7"/>
      <c r="H500" s="7"/>
      <c r="I500" s="7"/>
      <c r="J500" s="7"/>
    </row>
    <row r="501" spans="2:10" x14ac:dyDescent="0.15">
      <c r="B501"/>
      <c r="C501"/>
      <c r="D501"/>
      <c r="E501"/>
      <c r="F501" s="7"/>
      <c r="G501" s="7"/>
      <c r="H501" s="7"/>
      <c r="I501" s="7"/>
      <c r="J501" s="7"/>
    </row>
    <row r="502" spans="2:10" x14ac:dyDescent="0.15">
      <c r="B502"/>
      <c r="C502"/>
      <c r="D502"/>
      <c r="E502"/>
      <c r="F502" s="7"/>
      <c r="G502" s="7"/>
      <c r="H502" s="7"/>
      <c r="I502" s="7"/>
      <c r="J502" s="7"/>
    </row>
    <row r="503" spans="2:10" x14ac:dyDescent="0.15">
      <c r="B503"/>
      <c r="C503"/>
      <c r="D503"/>
      <c r="E503"/>
      <c r="F503" s="7"/>
      <c r="G503" s="7"/>
      <c r="H503" s="7"/>
      <c r="I503" s="7"/>
      <c r="J503" s="7"/>
    </row>
    <row r="504" spans="2:10" x14ac:dyDescent="0.15">
      <c r="B504"/>
      <c r="C504"/>
      <c r="D504"/>
      <c r="E504"/>
      <c r="F504" s="7"/>
      <c r="G504" s="7"/>
      <c r="H504" s="7"/>
      <c r="I504" s="7"/>
      <c r="J504" s="7"/>
    </row>
    <row r="505" spans="2:10" x14ac:dyDescent="0.15">
      <c r="B505"/>
      <c r="C505"/>
      <c r="D505"/>
      <c r="E505"/>
      <c r="F505" s="7"/>
      <c r="G505" s="7"/>
      <c r="H505" s="7"/>
      <c r="I505" s="7"/>
      <c r="J505" s="7"/>
    </row>
    <row r="506" spans="2:10" x14ac:dyDescent="0.15">
      <c r="B506"/>
      <c r="C506"/>
      <c r="D506"/>
      <c r="E506"/>
      <c r="F506" s="7"/>
      <c r="G506" s="7"/>
      <c r="H506" s="7"/>
      <c r="I506" s="7"/>
      <c r="J506" s="7"/>
    </row>
    <row r="507" spans="2:10" x14ac:dyDescent="0.15">
      <c r="B507"/>
      <c r="C507"/>
      <c r="D507"/>
      <c r="E507"/>
      <c r="F507" s="7"/>
      <c r="G507" s="7"/>
      <c r="H507" s="7"/>
      <c r="I507" s="7"/>
      <c r="J507" s="7"/>
    </row>
    <row r="508" spans="2:10" x14ac:dyDescent="0.15">
      <c r="B508"/>
      <c r="C508"/>
      <c r="D508"/>
      <c r="E508"/>
      <c r="F508" s="7"/>
      <c r="G508" s="7"/>
      <c r="H508" s="7"/>
      <c r="I508" s="7"/>
      <c r="J508" s="7"/>
    </row>
    <row r="509" spans="2:10" x14ac:dyDescent="0.15">
      <c r="B509"/>
      <c r="C509"/>
      <c r="D509"/>
      <c r="E509"/>
      <c r="F509" s="7"/>
      <c r="G509" s="7"/>
      <c r="H509" s="7"/>
      <c r="I509" s="7"/>
      <c r="J509" s="7"/>
    </row>
    <row r="510" spans="2:10" x14ac:dyDescent="0.15">
      <c r="B510"/>
      <c r="C510"/>
      <c r="D510"/>
      <c r="E510"/>
      <c r="F510" s="7"/>
      <c r="G510" s="7"/>
      <c r="H510" s="7"/>
      <c r="I510" s="7"/>
      <c r="J510" s="7"/>
    </row>
    <row r="511" spans="2:10" x14ac:dyDescent="0.15">
      <c r="B511"/>
      <c r="C511"/>
      <c r="D511"/>
      <c r="E511"/>
      <c r="F511" s="7"/>
      <c r="G511" s="7"/>
      <c r="H511" s="7"/>
      <c r="I511" s="7"/>
      <c r="J511" s="7"/>
    </row>
    <row r="512" spans="2:10" x14ac:dyDescent="0.15">
      <c r="B512"/>
      <c r="C512"/>
      <c r="D512"/>
      <c r="E512"/>
      <c r="F512" s="7"/>
      <c r="G512" s="7"/>
      <c r="H512" s="7"/>
      <c r="I512" s="7"/>
      <c r="J512" s="7"/>
    </row>
    <row r="513" spans="2:10" x14ac:dyDescent="0.15">
      <c r="B513"/>
      <c r="C513"/>
      <c r="D513"/>
      <c r="E513"/>
      <c r="F513" s="7"/>
      <c r="G513" s="7"/>
      <c r="H513" s="7"/>
      <c r="I513" s="7"/>
      <c r="J513" s="7"/>
    </row>
    <row r="514" spans="2:10" x14ac:dyDescent="0.15">
      <c r="B514"/>
      <c r="C514"/>
      <c r="D514"/>
      <c r="E514"/>
      <c r="F514" s="7"/>
      <c r="G514" s="7"/>
      <c r="H514" s="7"/>
      <c r="I514" s="7"/>
      <c r="J514" s="7"/>
    </row>
    <row r="515" spans="2:10" x14ac:dyDescent="0.15">
      <c r="B515"/>
      <c r="C515"/>
      <c r="D515"/>
      <c r="E515"/>
      <c r="F515" s="7"/>
      <c r="G515" s="7"/>
      <c r="H515" s="7"/>
      <c r="I515" s="7"/>
      <c r="J515" s="7"/>
    </row>
    <row r="516" spans="2:10" x14ac:dyDescent="0.15">
      <c r="B516"/>
      <c r="C516"/>
      <c r="D516"/>
      <c r="E516"/>
      <c r="F516" s="7"/>
      <c r="G516" s="7"/>
      <c r="H516" s="7"/>
      <c r="I516" s="7"/>
      <c r="J516" s="7"/>
    </row>
    <row r="517" spans="2:10" x14ac:dyDescent="0.15">
      <c r="B517"/>
      <c r="C517"/>
      <c r="D517"/>
      <c r="E517"/>
      <c r="F517" s="7"/>
      <c r="G517" s="7"/>
      <c r="H517" s="7"/>
      <c r="I517" s="7"/>
      <c r="J517" s="7"/>
    </row>
    <row r="518" spans="2:10" x14ac:dyDescent="0.15">
      <c r="B518"/>
      <c r="C518"/>
      <c r="D518"/>
      <c r="E518"/>
      <c r="F518" s="7"/>
      <c r="G518" s="7"/>
      <c r="H518" s="7"/>
      <c r="I518" s="7"/>
      <c r="J518" s="7"/>
    </row>
    <row r="519" spans="2:10" x14ac:dyDescent="0.15">
      <c r="B519"/>
      <c r="C519"/>
      <c r="D519"/>
      <c r="E519"/>
      <c r="F519" s="7"/>
      <c r="G519" s="7"/>
      <c r="H519" s="7"/>
      <c r="I519" s="7"/>
      <c r="J519" s="7"/>
    </row>
    <row r="520" spans="2:10" x14ac:dyDescent="0.15">
      <c r="B520"/>
      <c r="C520"/>
      <c r="D520"/>
      <c r="E520"/>
      <c r="F520" s="7"/>
      <c r="G520" s="7"/>
      <c r="H520" s="7"/>
      <c r="I520" s="7"/>
      <c r="J520" s="7"/>
    </row>
    <row r="521" spans="2:10" x14ac:dyDescent="0.15">
      <c r="B521"/>
      <c r="C521"/>
      <c r="D521"/>
      <c r="E521"/>
      <c r="F521" s="7"/>
      <c r="G521" s="7"/>
      <c r="H521" s="7"/>
      <c r="I521" s="7"/>
      <c r="J521" s="7"/>
    </row>
    <row r="522" spans="2:10" x14ac:dyDescent="0.15">
      <c r="B522"/>
      <c r="C522"/>
      <c r="D522"/>
      <c r="E522"/>
      <c r="F522" s="7"/>
      <c r="G522" s="7"/>
      <c r="H522" s="7"/>
      <c r="I522" s="7"/>
      <c r="J522" s="7"/>
    </row>
    <row r="523" spans="2:10" x14ac:dyDescent="0.15">
      <c r="B523"/>
      <c r="C523"/>
      <c r="D523"/>
      <c r="E523"/>
      <c r="F523" s="7"/>
      <c r="G523" s="7"/>
      <c r="H523" s="7"/>
      <c r="I523" s="7"/>
      <c r="J523" s="7"/>
    </row>
    <row r="524" spans="2:10" x14ac:dyDescent="0.15">
      <c r="B524"/>
      <c r="C524"/>
      <c r="D524"/>
      <c r="E524"/>
      <c r="F524" s="7"/>
      <c r="G524" s="7"/>
      <c r="H524" s="7"/>
      <c r="I524" s="7"/>
      <c r="J524" s="7"/>
    </row>
    <row r="525" spans="2:10" x14ac:dyDescent="0.15">
      <c r="B525"/>
      <c r="C525"/>
      <c r="D525"/>
      <c r="E525"/>
      <c r="F525" s="7"/>
      <c r="G525" s="7"/>
      <c r="H525" s="7"/>
      <c r="I525" s="7"/>
      <c r="J525" s="7"/>
    </row>
    <row r="526" spans="2:10" x14ac:dyDescent="0.15">
      <c r="B526"/>
      <c r="C526"/>
      <c r="D526"/>
      <c r="E526"/>
      <c r="F526" s="7"/>
      <c r="G526" s="7"/>
      <c r="H526" s="7"/>
      <c r="I526" s="7"/>
      <c r="J526" s="7"/>
    </row>
    <row r="527" spans="2:10" x14ac:dyDescent="0.15">
      <c r="B527"/>
      <c r="C527"/>
      <c r="D527"/>
      <c r="E527"/>
      <c r="F527" s="7"/>
      <c r="G527" s="7"/>
      <c r="H527" s="7"/>
      <c r="I527" s="7"/>
      <c r="J527" s="7"/>
    </row>
    <row r="528" spans="2:10" x14ac:dyDescent="0.15">
      <c r="B528"/>
      <c r="C528"/>
      <c r="D528"/>
      <c r="E528"/>
      <c r="F528" s="7"/>
      <c r="G528" s="7"/>
      <c r="H528" s="7"/>
      <c r="I528" s="7"/>
      <c r="J528" s="7"/>
    </row>
    <row r="529" spans="2:10" x14ac:dyDescent="0.15">
      <c r="B529"/>
      <c r="C529"/>
      <c r="D529"/>
      <c r="E529"/>
      <c r="F529" s="7"/>
      <c r="G529" s="7"/>
      <c r="H529" s="7"/>
      <c r="I529" s="7"/>
      <c r="J529" s="7"/>
    </row>
    <row r="530" spans="2:10" x14ac:dyDescent="0.15">
      <c r="B530"/>
      <c r="C530"/>
      <c r="D530"/>
      <c r="E530"/>
      <c r="F530" s="7"/>
      <c r="G530" s="7"/>
      <c r="H530" s="7"/>
      <c r="I530" s="7"/>
      <c r="J530" s="7"/>
    </row>
    <row r="531" spans="2:10" x14ac:dyDescent="0.15">
      <c r="B531"/>
      <c r="C531"/>
      <c r="D531"/>
      <c r="E531"/>
      <c r="F531" s="7"/>
      <c r="G531" s="7"/>
      <c r="H531" s="7"/>
      <c r="I531" s="7"/>
      <c r="J531" s="7"/>
    </row>
    <row r="532" spans="2:10" x14ac:dyDescent="0.15">
      <c r="B532"/>
      <c r="C532"/>
      <c r="D532"/>
      <c r="E532"/>
      <c r="F532" s="7"/>
      <c r="G532" s="7"/>
      <c r="H532" s="7"/>
      <c r="I532" s="7"/>
      <c r="J532" s="7"/>
    </row>
    <row r="533" spans="2:10" x14ac:dyDescent="0.15">
      <c r="B533"/>
      <c r="C533"/>
      <c r="D533"/>
      <c r="E533"/>
      <c r="F533" s="7"/>
      <c r="G533" s="7"/>
      <c r="H533" s="7"/>
      <c r="I533" s="7"/>
      <c r="J533" s="7"/>
    </row>
    <row r="534" spans="2:10" x14ac:dyDescent="0.15">
      <c r="B534"/>
      <c r="C534"/>
      <c r="D534"/>
      <c r="E534"/>
      <c r="F534" s="7"/>
      <c r="G534" s="7"/>
      <c r="H534" s="7"/>
      <c r="I534" s="7"/>
      <c r="J534" s="7"/>
    </row>
    <row r="535" spans="2:10" x14ac:dyDescent="0.15">
      <c r="B535"/>
      <c r="C535"/>
      <c r="D535"/>
      <c r="E535"/>
      <c r="F535" s="7"/>
      <c r="G535" s="7"/>
      <c r="H535" s="7"/>
      <c r="I535" s="7"/>
      <c r="J535" s="7"/>
    </row>
    <row r="536" spans="2:10" x14ac:dyDescent="0.15">
      <c r="B536"/>
      <c r="C536"/>
      <c r="D536"/>
      <c r="E536"/>
      <c r="F536" s="7"/>
      <c r="G536" s="7"/>
      <c r="H536" s="7"/>
      <c r="I536" s="7"/>
      <c r="J536" s="7"/>
    </row>
    <row r="537" spans="2:10" x14ac:dyDescent="0.15">
      <c r="B537"/>
      <c r="C537"/>
      <c r="D537"/>
      <c r="E537"/>
      <c r="F537" s="7"/>
      <c r="G537" s="7"/>
      <c r="H537" s="7"/>
      <c r="I537" s="7"/>
      <c r="J537" s="7"/>
    </row>
    <row r="538" spans="2:10" x14ac:dyDescent="0.15">
      <c r="B538"/>
      <c r="C538"/>
      <c r="D538"/>
      <c r="E538"/>
      <c r="F538" s="7"/>
      <c r="G538" s="7"/>
      <c r="H538" s="7"/>
      <c r="I538" s="7"/>
      <c r="J538" s="7"/>
    </row>
    <row r="539" spans="2:10" x14ac:dyDescent="0.15">
      <c r="B539"/>
      <c r="C539"/>
      <c r="D539"/>
      <c r="E539"/>
      <c r="F539" s="7"/>
      <c r="G539" s="7"/>
      <c r="H539" s="7"/>
      <c r="I539" s="7"/>
      <c r="J539" s="7"/>
    </row>
    <row r="540" spans="2:10" x14ac:dyDescent="0.15">
      <c r="B540"/>
      <c r="C540"/>
      <c r="D540"/>
      <c r="E540"/>
      <c r="F540" s="7"/>
      <c r="G540" s="7"/>
      <c r="H540" s="7"/>
      <c r="I540" s="7"/>
      <c r="J540" s="7"/>
    </row>
    <row r="541" spans="2:10" x14ac:dyDescent="0.15">
      <c r="B541"/>
      <c r="C541"/>
      <c r="D541"/>
      <c r="E541"/>
      <c r="F541" s="7"/>
      <c r="G541" s="7"/>
      <c r="H541" s="7"/>
      <c r="I541" s="7"/>
      <c r="J541" s="7"/>
    </row>
    <row r="542" spans="2:10" x14ac:dyDescent="0.15">
      <c r="B542"/>
      <c r="C542"/>
      <c r="D542"/>
      <c r="E542"/>
      <c r="F542" s="7"/>
      <c r="G542" s="7"/>
      <c r="H542" s="7"/>
      <c r="I542" s="7"/>
      <c r="J542" s="7"/>
    </row>
    <row r="543" spans="2:10" x14ac:dyDescent="0.15">
      <c r="B543"/>
      <c r="C543"/>
      <c r="D543"/>
      <c r="E543"/>
      <c r="F543" s="7"/>
      <c r="G543" s="7"/>
      <c r="H543" s="7"/>
      <c r="I543" s="7"/>
      <c r="J543" s="7"/>
    </row>
    <row r="544" spans="2:10" x14ac:dyDescent="0.15">
      <c r="B544"/>
      <c r="C544"/>
      <c r="D544"/>
      <c r="E544"/>
      <c r="F544" s="7"/>
      <c r="G544" s="7"/>
      <c r="H544" s="7"/>
      <c r="I544" s="7"/>
      <c r="J544" s="7"/>
    </row>
    <row r="545" spans="2:10" x14ac:dyDescent="0.15">
      <c r="B545"/>
      <c r="C545"/>
      <c r="D545"/>
      <c r="E545"/>
      <c r="F545" s="7"/>
      <c r="G545" s="7"/>
      <c r="H545" s="7"/>
      <c r="I545" s="7"/>
      <c r="J545" s="7"/>
    </row>
    <row r="546" spans="2:10" x14ac:dyDescent="0.15">
      <c r="B546"/>
      <c r="C546"/>
      <c r="D546"/>
      <c r="E546"/>
      <c r="F546" s="7"/>
      <c r="G546" s="7"/>
      <c r="H546" s="7"/>
      <c r="I546" s="7"/>
      <c r="J546" s="7"/>
    </row>
    <row r="547" spans="2:10" x14ac:dyDescent="0.15">
      <c r="B547"/>
      <c r="C547"/>
      <c r="D547"/>
      <c r="E547"/>
      <c r="F547" s="7"/>
      <c r="G547" s="7"/>
      <c r="H547" s="7"/>
      <c r="I547" s="7"/>
      <c r="J547" s="7"/>
    </row>
    <row r="548" spans="2:10" x14ac:dyDescent="0.15">
      <c r="B548"/>
      <c r="C548"/>
      <c r="D548"/>
      <c r="E548"/>
      <c r="F548" s="7"/>
      <c r="G548" s="7"/>
      <c r="H548" s="7"/>
      <c r="I548" s="7"/>
      <c r="J548" s="7"/>
    </row>
    <row r="549" spans="2:10" x14ac:dyDescent="0.15">
      <c r="B549"/>
      <c r="C549"/>
      <c r="D549"/>
      <c r="E549"/>
      <c r="F549" s="7"/>
      <c r="G549" s="7"/>
      <c r="H549" s="7"/>
      <c r="I549" s="7"/>
      <c r="J549" s="7"/>
    </row>
    <row r="550" spans="2:10" x14ac:dyDescent="0.15">
      <c r="B550"/>
      <c r="C550"/>
      <c r="D550"/>
      <c r="E550"/>
      <c r="F550" s="7"/>
      <c r="G550" s="7"/>
      <c r="H550" s="7"/>
      <c r="I550" s="7"/>
      <c r="J550" s="7"/>
    </row>
    <row r="551" spans="2:10" x14ac:dyDescent="0.15">
      <c r="B551"/>
      <c r="C551"/>
      <c r="D551"/>
      <c r="E551"/>
      <c r="F551" s="7"/>
      <c r="G551" s="7"/>
      <c r="H551" s="7"/>
      <c r="I551" s="7"/>
      <c r="J551" s="7"/>
    </row>
    <row r="552" spans="2:10" x14ac:dyDescent="0.15">
      <c r="B552"/>
      <c r="C552"/>
      <c r="D552"/>
      <c r="E552"/>
      <c r="F552" s="7"/>
      <c r="G552" s="7"/>
      <c r="H552" s="7"/>
      <c r="I552" s="7"/>
      <c r="J552" s="7"/>
    </row>
    <row r="553" spans="2:10" x14ac:dyDescent="0.15">
      <c r="B553"/>
      <c r="C553"/>
      <c r="D553"/>
      <c r="E553"/>
      <c r="F553" s="7"/>
      <c r="G553" s="7"/>
      <c r="H553" s="7"/>
      <c r="I553" s="7"/>
      <c r="J553" s="7"/>
    </row>
    <row r="554" spans="2:10" x14ac:dyDescent="0.15">
      <c r="B554"/>
      <c r="C554"/>
      <c r="D554"/>
      <c r="E554"/>
      <c r="F554" s="7"/>
      <c r="G554" s="7"/>
      <c r="H554" s="7"/>
      <c r="I554" s="7"/>
      <c r="J554" s="7"/>
    </row>
    <row r="555" spans="2:10" x14ac:dyDescent="0.15">
      <c r="B555"/>
      <c r="C555"/>
      <c r="D555"/>
      <c r="E555"/>
      <c r="F555" s="7"/>
      <c r="G555" s="7"/>
      <c r="H555" s="7"/>
      <c r="I555" s="7"/>
      <c r="J555" s="7"/>
    </row>
    <row r="556" spans="2:10" x14ac:dyDescent="0.15">
      <c r="B556"/>
      <c r="C556"/>
      <c r="D556"/>
      <c r="E556"/>
      <c r="F556" s="7"/>
      <c r="G556" s="7"/>
      <c r="H556" s="7"/>
      <c r="I556" s="7"/>
      <c r="J556" s="7"/>
    </row>
    <row r="557" spans="2:10" x14ac:dyDescent="0.15">
      <c r="B557"/>
      <c r="C557"/>
      <c r="D557"/>
      <c r="E557"/>
      <c r="F557" s="7"/>
      <c r="G557" s="7"/>
      <c r="H557" s="7"/>
      <c r="I557" s="7"/>
      <c r="J557" s="7"/>
    </row>
    <row r="558" spans="2:10" x14ac:dyDescent="0.15">
      <c r="B558"/>
      <c r="C558"/>
      <c r="D558"/>
      <c r="E558"/>
      <c r="F558" s="7"/>
      <c r="G558" s="7"/>
      <c r="H558" s="7"/>
      <c r="I558" s="7"/>
      <c r="J558" s="7"/>
    </row>
    <row r="559" spans="2:10" x14ac:dyDescent="0.15">
      <c r="B559"/>
      <c r="C559"/>
      <c r="D559"/>
      <c r="E559"/>
      <c r="F559" s="7"/>
      <c r="G559" s="7"/>
      <c r="H559" s="7"/>
      <c r="I559" s="7"/>
      <c r="J559" s="7"/>
    </row>
    <row r="560" spans="2:10" x14ac:dyDescent="0.15">
      <c r="B560"/>
      <c r="C560"/>
      <c r="D560"/>
      <c r="E560"/>
      <c r="F560" s="7"/>
      <c r="G560" s="7"/>
      <c r="H560" s="7"/>
      <c r="I560" s="7"/>
      <c r="J560" s="7"/>
    </row>
    <row r="561" spans="2:10" x14ac:dyDescent="0.15">
      <c r="B561"/>
      <c r="C561"/>
      <c r="D561"/>
      <c r="E561"/>
      <c r="F561" s="7"/>
      <c r="G561" s="7"/>
      <c r="H561" s="7"/>
      <c r="I561" s="7"/>
      <c r="J561" s="7"/>
    </row>
    <row r="562" spans="2:10" x14ac:dyDescent="0.15">
      <c r="B562"/>
      <c r="C562"/>
      <c r="D562"/>
      <c r="E562"/>
      <c r="F562" s="7"/>
      <c r="G562" s="7"/>
      <c r="H562" s="7"/>
      <c r="I562" s="7"/>
      <c r="J562" s="7"/>
    </row>
    <row r="563" spans="2:10" x14ac:dyDescent="0.15">
      <c r="B563"/>
      <c r="C563"/>
      <c r="D563"/>
      <c r="E563"/>
      <c r="F563" s="7"/>
      <c r="G563" s="7"/>
      <c r="H563" s="7"/>
      <c r="I563" s="7"/>
      <c r="J563" s="7"/>
    </row>
    <row r="564" spans="2:10" x14ac:dyDescent="0.15">
      <c r="B564"/>
      <c r="C564"/>
      <c r="D564"/>
      <c r="E564"/>
      <c r="F564" s="7"/>
      <c r="G564" s="7"/>
      <c r="H564" s="7"/>
      <c r="I564" s="7"/>
      <c r="J564" s="7"/>
    </row>
    <row r="565" spans="2:10" x14ac:dyDescent="0.15">
      <c r="B565"/>
      <c r="C565"/>
      <c r="D565"/>
      <c r="E565"/>
      <c r="F565" s="7"/>
      <c r="G565" s="7"/>
      <c r="H565" s="7"/>
      <c r="I565" s="7"/>
      <c r="J565" s="7"/>
    </row>
    <row r="566" spans="2:10" x14ac:dyDescent="0.15">
      <c r="B566"/>
      <c r="C566"/>
      <c r="D566"/>
      <c r="E566"/>
      <c r="F566" s="7"/>
      <c r="G566" s="7"/>
      <c r="H566" s="7"/>
      <c r="I566" s="7"/>
      <c r="J566" s="7"/>
    </row>
    <row r="567" spans="2:10" x14ac:dyDescent="0.15">
      <c r="B567"/>
      <c r="C567"/>
      <c r="D567"/>
      <c r="E567"/>
      <c r="F567" s="7"/>
      <c r="G567" s="7"/>
      <c r="H567" s="7"/>
      <c r="I567" s="7"/>
      <c r="J567" s="7"/>
    </row>
    <row r="568" spans="2:10" x14ac:dyDescent="0.15">
      <c r="B568"/>
      <c r="C568"/>
      <c r="D568"/>
      <c r="E568"/>
      <c r="F568" s="7"/>
      <c r="G568" s="7"/>
      <c r="H568" s="7"/>
      <c r="I568" s="7"/>
      <c r="J568" s="7"/>
    </row>
    <row r="569" spans="2:10" x14ac:dyDescent="0.15">
      <c r="B569"/>
      <c r="C569"/>
      <c r="D569"/>
      <c r="E569"/>
      <c r="F569" s="7"/>
      <c r="G569" s="7"/>
      <c r="H569" s="7"/>
      <c r="I569" s="7"/>
      <c r="J569" s="7"/>
    </row>
    <row r="570" spans="2:10" x14ac:dyDescent="0.15">
      <c r="B570"/>
      <c r="C570"/>
      <c r="D570"/>
      <c r="E570"/>
      <c r="F570" s="7"/>
      <c r="G570" s="7"/>
      <c r="H570" s="7"/>
      <c r="I570" s="7"/>
      <c r="J570" s="7"/>
    </row>
    <row r="571" spans="2:10" x14ac:dyDescent="0.15">
      <c r="B571"/>
      <c r="C571"/>
      <c r="D571"/>
      <c r="E571"/>
      <c r="F571" s="7"/>
      <c r="G571" s="7"/>
      <c r="H571" s="7"/>
      <c r="I571" s="7"/>
      <c r="J571" s="7"/>
    </row>
    <row r="572" spans="2:10" x14ac:dyDescent="0.15">
      <c r="B572"/>
      <c r="C572"/>
      <c r="D572"/>
      <c r="E572"/>
      <c r="F572" s="7"/>
      <c r="G572" s="7"/>
      <c r="H572" s="7"/>
      <c r="I572" s="7"/>
      <c r="J572" s="7"/>
    </row>
    <row r="573" spans="2:10" x14ac:dyDescent="0.15">
      <c r="B573"/>
      <c r="C573"/>
      <c r="D573"/>
      <c r="E573"/>
      <c r="F573" s="7"/>
      <c r="G573" s="7"/>
      <c r="H573" s="7"/>
      <c r="I573" s="7"/>
      <c r="J573" s="7"/>
    </row>
    <row r="574" spans="2:10" x14ac:dyDescent="0.15">
      <c r="B574"/>
      <c r="C574"/>
      <c r="D574"/>
      <c r="E574"/>
      <c r="F574" s="7"/>
      <c r="G574" s="7"/>
      <c r="H574" s="7"/>
      <c r="I574" s="7"/>
      <c r="J574" s="7"/>
    </row>
    <row r="575" spans="2:10" x14ac:dyDescent="0.15">
      <c r="B575"/>
      <c r="C575"/>
      <c r="D575"/>
      <c r="E575"/>
      <c r="F575" s="7"/>
      <c r="G575" s="7"/>
      <c r="H575" s="7"/>
      <c r="I575" s="7"/>
      <c r="J575" s="7"/>
    </row>
    <row r="576" spans="2:10" x14ac:dyDescent="0.15">
      <c r="B576"/>
      <c r="C576"/>
      <c r="D576"/>
      <c r="E576"/>
      <c r="F576" s="7"/>
      <c r="G576" s="7"/>
      <c r="H576" s="7"/>
      <c r="I576" s="7"/>
      <c r="J576" s="7"/>
    </row>
    <row r="577" spans="2:10" x14ac:dyDescent="0.15">
      <c r="B577"/>
      <c r="C577"/>
      <c r="D577"/>
      <c r="E577"/>
      <c r="F577" s="7"/>
      <c r="G577" s="7"/>
      <c r="H577" s="7"/>
      <c r="I577" s="7"/>
      <c r="J577" s="7"/>
    </row>
    <row r="578" spans="2:10" x14ac:dyDescent="0.15">
      <c r="B578"/>
      <c r="C578"/>
      <c r="D578"/>
      <c r="E578"/>
      <c r="F578" s="7"/>
      <c r="G578" s="7"/>
      <c r="H578" s="7"/>
      <c r="I578" s="7"/>
      <c r="J578" s="7"/>
    </row>
    <row r="579" spans="2:10" x14ac:dyDescent="0.15">
      <c r="B579"/>
      <c r="C579"/>
      <c r="D579"/>
      <c r="E579"/>
      <c r="F579" s="7"/>
      <c r="G579" s="7"/>
      <c r="H579" s="7"/>
      <c r="I579" s="7"/>
      <c r="J579" s="7"/>
    </row>
    <row r="580" spans="2:10" x14ac:dyDescent="0.15">
      <c r="B580"/>
      <c r="C580"/>
      <c r="D580"/>
      <c r="E580"/>
      <c r="F580" s="7"/>
      <c r="G580" s="7"/>
      <c r="H580" s="7"/>
      <c r="I580" s="7"/>
      <c r="J580" s="7"/>
    </row>
    <row r="581" spans="2:10" x14ac:dyDescent="0.15">
      <c r="B581"/>
      <c r="C581"/>
      <c r="D581"/>
      <c r="E581"/>
      <c r="F581" s="7"/>
      <c r="G581" s="7"/>
      <c r="H581" s="7"/>
      <c r="I581" s="7"/>
      <c r="J581" s="7"/>
    </row>
    <row r="582" spans="2:10" x14ac:dyDescent="0.15">
      <c r="B582"/>
      <c r="C582"/>
      <c r="D582"/>
      <c r="E582"/>
      <c r="F582" s="7"/>
      <c r="G582" s="7"/>
      <c r="H582" s="7"/>
      <c r="I582" s="7"/>
      <c r="J582" s="7"/>
    </row>
    <row r="583" spans="2:10" x14ac:dyDescent="0.15">
      <c r="B583"/>
      <c r="C583"/>
      <c r="D583"/>
      <c r="E583"/>
      <c r="F583" s="7"/>
      <c r="G583" s="7"/>
      <c r="H583" s="7"/>
      <c r="I583" s="7"/>
      <c r="J583" s="7"/>
    </row>
    <row r="584" spans="2:10" x14ac:dyDescent="0.15">
      <c r="B584"/>
      <c r="C584"/>
      <c r="D584"/>
      <c r="E584"/>
      <c r="F584" s="7"/>
      <c r="G584" s="7"/>
      <c r="H584" s="7"/>
      <c r="I584" s="7"/>
      <c r="J584" s="7"/>
    </row>
    <row r="585" spans="2:10" x14ac:dyDescent="0.15">
      <c r="B585"/>
      <c r="C585"/>
      <c r="D585"/>
      <c r="E585"/>
      <c r="F585" s="7"/>
      <c r="G585" s="7"/>
      <c r="H585" s="7"/>
      <c r="I585" s="7"/>
      <c r="J585" s="7"/>
    </row>
    <row r="586" spans="2:10" x14ac:dyDescent="0.15">
      <c r="B586"/>
      <c r="C586"/>
      <c r="D586"/>
      <c r="E586"/>
      <c r="F586" s="7"/>
      <c r="G586" s="7"/>
      <c r="H586" s="7"/>
      <c r="I586" s="7"/>
      <c r="J586" s="7"/>
    </row>
    <row r="587" spans="2:10" x14ac:dyDescent="0.15">
      <c r="B587"/>
      <c r="C587"/>
      <c r="D587"/>
      <c r="E587"/>
      <c r="F587" s="7"/>
      <c r="G587" s="7"/>
      <c r="H587" s="7"/>
      <c r="I587" s="7"/>
      <c r="J587" s="7"/>
    </row>
    <row r="588" spans="2:10" x14ac:dyDescent="0.15">
      <c r="B588"/>
      <c r="C588"/>
      <c r="D588"/>
      <c r="E588"/>
      <c r="F588" s="7"/>
      <c r="G588" s="7"/>
      <c r="H588" s="7"/>
      <c r="I588" s="7"/>
      <c r="J588" s="7"/>
    </row>
    <row r="589" spans="2:10" x14ac:dyDescent="0.15">
      <c r="B589"/>
      <c r="C589"/>
      <c r="D589"/>
      <c r="E589"/>
      <c r="F589" s="7"/>
      <c r="G589" s="7"/>
      <c r="H589" s="7"/>
      <c r="I589" s="7"/>
      <c r="J589" s="7"/>
    </row>
    <row r="590" spans="2:10" x14ac:dyDescent="0.15">
      <c r="B590"/>
      <c r="C590"/>
      <c r="D590"/>
      <c r="E590"/>
      <c r="F590" s="7"/>
      <c r="G590" s="7"/>
      <c r="H590" s="7"/>
      <c r="I590" s="7"/>
      <c r="J590" s="7"/>
    </row>
    <row r="591" spans="2:10" x14ac:dyDescent="0.15">
      <c r="B591"/>
      <c r="C591"/>
      <c r="D591"/>
      <c r="E591"/>
      <c r="F591" s="7"/>
      <c r="G591" s="7"/>
      <c r="H591" s="7"/>
      <c r="I591" s="7"/>
      <c r="J591" s="7"/>
    </row>
    <row r="592" spans="2:10" x14ac:dyDescent="0.15">
      <c r="B592"/>
      <c r="C592"/>
      <c r="D592"/>
      <c r="E592"/>
      <c r="F592" s="7"/>
      <c r="G592" s="7"/>
      <c r="H592" s="7"/>
      <c r="I592" s="7"/>
      <c r="J592" s="7"/>
    </row>
    <row r="593" spans="2:10" x14ac:dyDescent="0.15">
      <c r="B593"/>
      <c r="C593"/>
      <c r="D593"/>
      <c r="E593"/>
      <c r="F593" s="7"/>
      <c r="G593" s="7"/>
      <c r="H593" s="7"/>
      <c r="I593" s="7"/>
      <c r="J593" s="7"/>
    </row>
    <row r="594" spans="2:10" x14ac:dyDescent="0.15">
      <c r="B594"/>
      <c r="C594"/>
      <c r="D594"/>
      <c r="E594"/>
      <c r="F594" s="7"/>
      <c r="G594" s="7"/>
      <c r="H594" s="7"/>
      <c r="I594" s="7"/>
      <c r="J594" s="7"/>
    </row>
    <row r="595" spans="2:10" x14ac:dyDescent="0.15">
      <c r="B595"/>
      <c r="C595"/>
      <c r="D595"/>
      <c r="E595"/>
      <c r="F595" s="7"/>
      <c r="G595" s="7"/>
      <c r="H595" s="7"/>
      <c r="I595" s="7"/>
      <c r="J595" s="7"/>
    </row>
    <row r="596" spans="2:10" x14ac:dyDescent="0.15">
      <c r="B596"/>
      <c r="C596"/>
      <c r="D596"/>
      <c r="E596"/>
      <c r="F596" s="7"/>
      <c r="G596" s="7"/>
      <c r="H596" s="7"/>
      <c r="I596" s="7"/>
      <c r="J596" s="7"/>
    </row>
    <row r="597" spans="2:10" x14ac:dyDescent="0.15">
      <c r="B597"/>
      <c r="C597"/>
      <c r="D597"/>
      <c r="E597"/>
      <c r="F597" s="7"/>
      <c r="G597" s="7"/>
      <c r="H597" s="7"/>
      <c r="I597" s="7"/>
      <c r="J597" s="7"/>
    </row>
    <row r="598" spans="2:10" x14ac:dyDescent="0.15">
      <c r="B598"/>
      <c r="C598"/>
      <c r="D598"/>
      <c r="E598"/>
      <c r="F598" s="7"/>
      <c r="G598" s="7"/>
      <c r="H598" s="7"/>
      <c r="I598" s="7"/>
      <c r="J598" s="7"/>
    </row>
    <row r="599" spans="2:10" x14ac:dyDescent="0.15">
      <c r="B599"/>
      <c r="C599"/>
      <c r="D599"/>
      <c r="E599"/>
      <c r="F599" s="7"/>
      <c r="G599" s="7"/>
      <c r="H599" s="7"/>
      <c r="I599" s="7"/>
      <c r="J599" s="7"/>
    </row>
    <row r="600" spans="2:10" x14ac:dyDescent="0.15">
      <c r="B600"/>
      <c r="C600"/>
      <c r="D600"/>
      <c r="E600"/>
      <c r="F600" s="7"/>
      <c r="G600" s="7"/>
      <c r="H600" s="7"/>
      <c r="I600" s="7"/>
      <c r="J600" s="7"/>
    </row>
    <row r="601" spans="2:10" x14ac:dyDescent="0.15">
      <c r="B601"/>
      <c r="C601"/>
      <c r="D601"/>
      <c r="E601"/>
      <c r="F601" s="7"/>
      <c r="G601" s="7"/>
      <c r="H601" s="7"/>
      <c r="I601" s="7"/>
      <c r="J601" s="7"/>
    </row>
    <row r="602" spans="2:10" x14ac:dyDescent="0.15">
      <c r="B602"/>
      <c r="C602"/>
      <c r="D602"/>
      <c r="E602"/>
      <c r="F602" s="7"/>
      <c r="G602" s="7"/>
      <c r="H602" s="7"/>
      <c r="I602" s="7"/>
      <c r="J602" s="7"/>
    </row>
    <row r="603" spans="2:10" x14ac:dyDescent="0.15">
      <c r="B603"/>
      <c r="C603"/>
      <c r="D603"/>
      <c r="E603"/>
      <c r="F603" s="7"/>
      <c r="G603" s="7"/>
      <c r="H603" s="7"/>
      <c r="I603" s="7"/>
      <c r="J603" s="7"/>
    </row>
    <row r="604" spans="2:10" x14ac:dyDescent="0.15">
      <c r="B604"/>
      <c r="C604"/>
      <c r="D604"/>
      <c r="E604"/>
      <c r="F604" s="7"/>
      <c r="G604" s="7"/>
      <c r="H604" s="7"/>
      <c r="I604" s="7"/>
      <c r="J604" s="7"/>
    </row>
    <row r="605" spans="2:10" x14ac:dyDescent="0.15">
      <c r="B605"/>
      <c r="C605"/>
      <c r="D605"/>
      <c r="E605"/>
      <c r="F605" s="7"/>
      <c r="G605" s="7"/>
      <c r="H605" s="7"/>
      <c r="I605" s="7"/>
      <c r="J605" s="7"/>
    </row>
    <row r="606" spans="2:10" x14ac:dyDescent="0.15">
      <c r="B606"/>
      <c r="C606"/>
      <c r="D606"/>
      <c r="E606"/>
      <c r="F606" s="7"/>
      <c r="G606" s="7"/>
      <c r="H606" s="7"/>
      <c r="I606" s="7"/>
      <c r="J606" s="7"/>
    </row>
    <row r="607" spans="2:10" x14ac:dyDescent="0.15">
      <c r="B607"/>
      <c r="C607"/>
      <c r="D607"/>
      <c r="E607"/>
      <c r="F607" s="7"/>
      <c r="G607" s="7"/>
      <c r="H607" s="7"/>
      <c r="I607" s="7"/>
      <c r="J607" s="7"/>
    </row>
    <row r="608" spans="2:10" x14ac:dyDescent="0.15">
      <c r="B608"/>
      <c r="C608"/>
      <c r="D608"/>
      <c r="E608"/>
      <c r="F608" s="7"/>
      <c r="G608" s="7"/>
      <c r="H608" s="7"/>
      <c r="I608" s="7"/>
      <c r="J608" s="7"/>
    </row>
    <row r="609" spans="2:10" x14ac:dyDescent="0.15">
      <c r="B609"/>
      <c r="C609"/>
      <c r="D609"/>
      <c r="E609"/>
      <c r="F609" s="7"/>
      <c r="G609" s="7"/>
      <c r="H609" s="7"/>
      <c r="I609" s="7"/>
      <c r="J609" s="7"/>
    </row>
    <row r="610" spans="2:10" x14ac:dyDescent="0.15">
      <c r="B610"/>
      <c r="C610"/>
      <c r="D610"/>
      <c r="E610"/>
      <c r="F610" s="7"/>
      <c r="G610" s="7"/>
      <c r="H610" s="7"/>
      <c r="I610" s="7"/>
      <c r="J610" s="7"/>
    </row>
    <row r="611" spans="2:10" x14ac:dyDescent="0.15">
      <c r="B611"/>
      <c r="C611"/>
      <c r="D611"/>
      <c r="E611"/>
      <c r="F611" s="7"/>
      <c r="G611" s="7"/>
      <c r="H611" s="7"/>
      <c r="I611" s="7"/>
      <c r="J611" s="7"/>
    </row>
    <row r="612" spans="2:10" x14ac:dyDescent="0.15">
      <c r="B612"/>
      <c r="C612"/>
      <c r="D612"/>
      <c r="E612"/>
      <c r="F612" s="7"/>
      <c r="G612" s="7"/>
      <c r="H612" s="7"/>
      <c r="I612" s="7"/>
      <c r="J612" s="7"/>
    </row>
    <row r="613" spans="2:10" x14ac:dyDescent="0.15">
      <c r="B613"/>
      <c r="C613"/>
      <c r="D613"/>
      <c r="E613"/>
      <c r="F613" s="7"/>
      <c r="G613" s="7"/>
      <c r="H613" s="7"/>
      <c r="I613" s="7"/>
      <c r="J613" s="7"/>
    </row>
    <row r="614" spans="2:10" x14ac:dyDescent="0.15">
      <c r="B614"/>
      <c r="C614"/>
      <c r="D614"/>
      <c r="E614"/>
      <c r="F614" s="7"/>
      <c r="G614" s="7"/>
      <c r="H614" s="7"/>
      <c r="I614" s="7"/>
      <c r="J614" s="7"/>
    </row>
    <row r="615" spans="2:10" x14ac:dyDescent="0.15">
      <c r="B615"/>
      <c r="C615"/>
      <c r="D615"/>
      <c r="E615"/>
      <c r="F615" s="7"/>
      <c r="G615" s="7"/>
      <c r="H615" s="7"/>
      <c r="I615" s="7"/>
      <c r="J615" s="7"/>
    </row>
    <row r="616" spans="2:10" x14ac:dyDescent="0.15">
      <c r="B616"/>
      <c r="C616"/>
      <c r="D616"/>
      <c r="E616"/>
      <c r="F616" s="7"/>
      <c r="G616" s="7"/>
      <c r="H616" s="7"/>
      <c r="I616" s="7"/>
      <c r="J616" s="7"/>
    </row>
    <row r="617" spans="2:10" x14ac:dyDescent="0.15">
      <c r="B617"/>
      <c r="C617"/>
      <c r="D617"/>
      <c r="E617"/>
      <c r="F617" s="7"/>
      <c r="G617" s="7"/>
      <c r="H617" s="7"/>
      <c r="I617" s="7"/>
      <c r="J617" s="7"/>
    </row>
    <row r="618" spans="2:10" x14ac:dyDescent="0.15">
      <c r="B618"/>
      <c r="C618"/>
      <c r="D618"/>
      <c r="E618"/>
      <c r="F618" s="7"/>
      <c r="G618" s="7"/>
      <c r="H618" s="7"/>
      <c r="I618" s="7"/>
      <c r="J618" s="7"/>
    </row>
    <row r="619" spans="2:10" x14ac:dyDescent="0.15">
      <c r="B619"/>
      <c r="C619"/>
      <c r="D619"/>
      <c r="E619"/>
      <c r="F619" s="7"/>
      <c r="G619" s="7"/>
      <c r="H619" s="7"/>
      <c r="I619" s="7"/>
      <c r="J619" s="7"/>
    </row>
    <row r="620" spans="2:10" x14ac:dyDescent="0.15">
      <c r="B620"/>
      <c r="C620"/>
      <c r="D620"/>
      <c r="E620"/>
      <c r="F620" s="7"/>
      <c r="G620" s="7"/>
      <c r="H620" s="7"/>
      <c r="I620" s="7"/>
      <c r="J620" s="7"/>
    </row>
    <row r="621" spans="2:10" x14ac:dyDescent="0.15">
      <c r="B621"/>
      <c r="C621"/>
      <c r="D621"/>
      <c r="E621"/>
      <c r="F621" s="7"/>
      <c r="G621" s="7"/>
      <c r="H621" s="7"/>
      <c r="I621" s="7"/>
      <c r="J621" s="7"/>
    </row>
    <row r="622" spans="2:10" x14ac:dyDescent="0.15">
      <c r="B622"/>
      <c r="C622"/>
      <c r="D622"/>
      <c r="E622"/>
      <c r="F622" s="7"/>
      <c r="G622" s="7"/>
      <c r="H622" s="7"/>
      <c r="I622" s="7"/>
      <c r="J622" s="7"/>
    </row>
    <row r="623" spans="2:10" x14ac:dyDescent="0.15">
      <c r="B623"/>
      <c r="C623"/>
      <c r="D623"/>
      <c r="E623"/>
      <c r="F623" s="7"/>
      <c r="G623" s="7"/>
      <c r="H623" s="7"/>
      <c r="I623" s="7"/>
      <c r="J623" s="7"/>
    </row>
    <row r="624" spans="2:10" x14ac:dyDescent="0.15">
      <c r="B624"/>
      <c r="C624"/>
      <c r="D624"/>
      <c r="E624"/>
      <c r="F624" s="7"/>
      <c r="G624" s="7"/>
      <c r="H624" s="7"/>
      <c r="I624" s="7"/>
      <c r="J624" s="7"/>
    </row>
    <row r="625" spans="2:10" x14ac:dyDescent="0.15">
      <c r="B625"/>
      <c r="C625"/>
      <c r="D625"/>
      <c r="E625"/>
      <c r="F625" s="7"/>
      <c r="G625" s="7"/>
      <c r="H625" s="7"/>
      <c r="I625" s="7"/>
      <c r="J625" s="7"/>
    </row>
    <row r="626" spans="2:10" x14ac:dyDescent="0.15">
      <c r="B626"/>
      <c r="C626"/>
      <c r="D626"/>
      <c r="E626"/>
      <c r="F626" s="7"/>
      <c r="G626" s="7"/>
      <c r="H626" s="7"/>
      <c r="I626" s="7"/>
      <c r="J626" s="7"/>
    </row>
    <row r="627" spans="2:10" x14ac:dyDescent="0.15">
      <c r="B627"/>
      <c r="C627"/>
      <c r="D627"/>
      <c r="E627"/>
      <c r="F627" s="7"/>
      <c r="G627" s="7"/>
      <c r="H627" s="7"/>
      <c r="I627" s="7"/>
      <c r="J627" s="7"/>
    </row>
    <row r="628" spans="2:10" x14ac:dyDescent="0.15">
      <c r="B628"/>
      <c r="C628"/>
      <c r="D628"/>
      <c r="E628"/>
      <c r="F628" s="7"/>
      <c r="G628" s="7"/>
      <c r="H628" s="7"/>
      <c r="I628" s="7"/>
      <c r="J628" s="7"/>
    </row>
    <row r="629" spans="2:10" x14ac:dyDescent="0.15">
      <c r="B629"/>
      <c r="C629"/>
      <c r="D629"/>
      <c r="E629"/>
      <c r="F629" s="7"/>
      <c r="G629" s="7"/>
      <c r="H629" s="7"/>
      <c r="I629" s="7"/>
      <c r="J629" s="7"/>
    </row>
    <row r="630" spans="2:10" x14ac:dyDescent="0.15">
      <c r="B630"/>
      <c r="C630"/>
      <c r="D630"/>
      <c r="E630"/>
      <c r="F630" s="7"/>
      <c r="G630" s="7"/>
      <c r="H630" s="7"/>
      <c r="I630" s="7"/>
      <c r="J630" s="7"/>
    </row>
    <row r="631" spans="2:10" x14ac:dyDescent="0.15">
      <c r="B631"/>
      <c r="C631"/>
      <c r="D631"/>
      <c r="E631"/>
      <c r="F631" s="7"/>
      <c r="G631" s="7"/>
      <c r="H631" s="7"/>
      <c r="I631" s="7"/>
      <c r="J631" s="7"/>
    </row>
    <row r="632" spans="2:10" x14ac:dyDescent="0.15">
      <c r="B632"/>
      <c r="C632"/>
      <c r="D632"/>
      <c r="E632"/>
      <c r="F632" s="7"/>
      <c r="G632" s="7"/>
      <c r="H632" s="7"/>
      <c r="I632" s="7"/>
      <c r="J632" s="7"/>
    </row>
    <row r="633" spans="2:10" x14ac:dyDescent="0.15">
      <c r="B633"/>
      <c r="C633"/>
      <c r="D633"/>
      <c r="E633"/>
      <c r="F633" s="7"/>
      <c r="G633" s="7"/>
      <c r="H633" s="7"/>
      <c r="I633" s="7"/>
      <c r="J633" s="7"/>
    </row>
    <row r="634" spans="2:10" x14ac:dyDescent="0.15">
      <c r="B634"/>
      <c r="C634"/>
      <c r="D634"/>
      <c r="E634"/>
      <c r="F634" s="7"/>
      <c r="G634" s="7"/>
      <c r="H634" s="7"/>
      <c r="I634" s="7"/>
      <c r="J634" s="7"/>
    </row>
    <row r="635" spans="2:10" x14ac:dyDescent="0.15">
      <c r="B635"/>
      <c r="C635"/>
      <c r="D635"/>
      <c r="E635"/>
      <c r="F635" s="7"/>
      <c r="G635" s="7"/>
      <c r="H635" s="7"/>
      <c r="I635" s="7"/>
      <c r="J635" s="7"/>
    </row>
    <row r="636" spans="2:10" x14ac:dyDescent="0.15">
      <c r="B636"/>
      <c r="C636"/>
      <c r="D636"/>
      <c r="E636"/>
      <c r="F636" s="7"/>
      <c r="G636" s="7"/>
      <c r="H636" s="7"/>
      <c r="I636" s="7"/>
      <c r="J636" s="7"/>
    </row>
    <row r="637" spans="2:10" x14ac:dyDescent="0.15">
      <c r="B637"/>
      <c r="C637"/>
      <c r="D637"/>
      <c r="E637"/>
      <c r="F637" s="7"/>
      <c r="G637" s="7"/>
      <c r="H637" s="7"/>
      <c r="I637" s="7"/>
      <c r="J637" s="7"/>
    </row>
    <row r="638" spans="2:10" x14ac:dyDescent="0.15">
      <c r="B638"/>
      <c r="C638"/>
      <c r="D638"/>
      <c r="E638"/>
      <c r="F638" s="7"/>
      <c r="G638" s="7"/>
      <c r="H638" s="7"/>
      <c r="I638" s="7"/>
      <c r="J638" s="7"/>
    </row>
    <row r="639" spans="2:10" x14ac:dyDescent="0.15">
      <c r="B639"/>
      <c r="C639"/>
      <c r="D639"/>
      <c r="E639"/>
      <c r="F639" s="7"/>
      <c r="G639" s="7"/>
      <c r="H639" s="7"/>
      <c r="I639" s="7"/>
      <c r="J639" s="7"/>
    </row>
    <row r="640" spans="2:10" x14ac:dyDescent="0.15">
      <c r="B640"/>
      <c r="C640"/>
      <c r="D640"/>
      <c r="E640"/>
      <c r="F640" s="7"/>
      <c r="G640" s="7"/>
      <c r="H640" s="7"/>
      <c r="I640" s="7"/>
      <c r="J640" s="7"/>
    </row>
    <row r="641" spans="2:10" x14ac:dyDescent="0.15">
      <c r="B641"/>
      <c r="C641"/>
      <c r="D641"/>
      <c r="E641"/>
      <c r="F641" s="7"/>
      <c r="G641" s="7"/>
      <c r="H641" s="7"/>
      <c r="I641" s="7"/>
      <c r="J641" s="7"/>
    </row>
    <row r="642" spans="2:10" x14ac:dyDescent="0.15">
      <c r="B642"/>
      <c r="C642"/>
      <c r="D642"/>
      <c r="E642"/>
      <c r="F642" s="7"/>
      <c r="G642" s="7"/>
      <c r="H642" s="7"/>
      <c r="I642" s="7"/>
      <c r="J642" s="7"/>
    </row>
    <row r="643" spans="2:10" x14ac:dyDescent="0.15">
      <c r="B643"/>
      <c r="C643"/>
      <c r="D643"/>
      <c r="E643"/>
      <c r="F643" s="7"/>
      <c r="G643" s="7"/>
      <c r="H643" s="7"/>
      <c r="I643" s="7"/>
      <c r="J643" s="7"/>
    </row>
    <row r="644" spans="2:10" x14ac:dyDescent="0.15">
      <c r="B644"/>
      <c r="C644"/>
      <c r="D644"/>
      <c r="E644"/>
      <c r="F644" s="7"/>
      <c r="G644" s="7"/>
      <c r="H644" s="7"/>
      <c r="I644" s="7"/>
      <c r="J644" s="7"/>
    </row>
    <row r="645" spans="2:10" x14ac:dyDescent="0.15">
      <c r="B645"/>
      <c r="C645"/>
      <c r="D645"/>
      <c r="E645"/>
      <c r="F645" s="7"/>
      <c r="G645" s="7"/>
      <c r="H645" s="7"/>
      <c r="I645" s="7"/>
      <c r="J645" s="7"/>
    </row>
    <row r="646" spans="2:10" x14ac:dyDescent="0.15">
      <c r="B646"/>
      <c r="C646"/>
      <c r="D646"/>
      <c r="E646"/>
      <c r="F646" s="7"/>
      <c r="G646" s="7"/>
      <c r="H646" s="7"/>
      <c r="I646" s="7"/>
      <c r="J646" s="7"/>
    </row>
    <row r="647" spans="2:10" x14ac:dyDescent="0.15">
      <c r="B647"/>
      <c r="C647"/>
      <c r="D647"/>
      <c r="E647"/>
      <c r="F647" s="7"/>
      <c r="G647" s="7"/>
      <c r="H647" s="7"/>
      <c r="I647" s="7"/>
      <c r="J647" s="7"/>
    </row>
    <row r="648" spans="2:10" x14ac:dyDescent="0.15">
      <c r="B648"/>
      <c r="C648"/>
      <c r="D648"/>
      <c r="E648"/>
      <c r="F648" s="7"/>
      <c r="G648" s="7"/>
      <c r="H648" s="7"/>
      <c r="I648" s="7"/>
      <c r="J648" s="7"/>
    </row>
    <row r="649" spans="2:10" x14ac:dyDescent="0.15">
      <c r="B649"/>
      <c r="C649"/>
      <c r="D649"/>
      <c r="E649"/>
      <c r="F649" s="7"/>
      <c r="G649" s="7"/>
      <c r="H649" s="7"/>
      <c r="I649" s="7"/>
      <c r="J649" s="7"/>
    </row>
    <row r="650" spans="2:10" x14ac:dyDescent="0.15">
      <c r="B650"/>
      <c r="C650"/>
      <c r="D650"/>
      <c r="E650"/>
      <c r="F650" s="7"/>
      <c r="G650" s="7"/>
      <c r="H650" s="7"/>
      <c r="I650" s="7"/>
      <c r="J650" s="7"/>
    </row>
    <row r="651" spans="2:10" x14ac:dyDescent="0.15">
      <c r="B651"/>
      <c r="C651"/>
      <c r="D651"/>
      <c r="E651"/>
      <c r="F651" s="7"/>
      <c r="G651" s="7"/>
      <c r="H651" s="7"/>
      <c r="I651" s="7"/>
      <c r="J651" s="7"/>
    </row>
    <row r="652" spans="2:10" x14ac:dyDescent="0.15">
      <c r="B652"/>
      <c r="C652"/>
      <c r="D652"/>
      <c r="E652"/>
      <c r="F652" s="7"/>
      <c r="G652" s="7"/>
      <c r="H652" s="7"/>
      <c r="I652" s="7"/>
      <c r="J652" s="7"/>
    </row>
    <row r="653" spans="2:10" x14ac:dyDescent="0.15">
      <c r="B653"/>
      <c r="C653"/>
      <c r="D653"/>
      <c r="E653"/>
      <c r="F653" s="7"/>
      <c r="G653" s="7"/>
      <c r="H653" s="7"/>
      <c r="I653" s="7"/>
      <c r="J653" s="7"/>
    </row>
    <row r="654" spans="2:10" x14ac:dyDescent="0.15">
      <c r="B654"/>
      <c r="C654"/>
      <c r="D654"/>
      <c r="E654"/>
      <c r="F654" s="7"/>
      <c r="G654" s="7"/>
      <c r="H654" s="7"/>
      <c r="I654" s="7"/>
      <c r="J654" s="7"/>
    </row>
    <row r="655" spans="2:10" x14ac:dyDescent="0.15">
      <c r="B655"/>
      <c r="C655"/>
      <c r="D655"/>
      <c r="E655"/>
      <c r="F655" s="7"/>
      <c r="G655" s="7"/>
      <c r="H655" s="7"/>
      <c r="I655" s="7"/>
      <c r="J655" s="7"/>
    </row>
    <row r="656" spans="2:10" x14ac:dyDescent="0.15">
      <c r="B656"/>
      <c r="C656"/>
      <c r="D656"/>
      <c r="E656"/>
      <c r="F656" s="7"/>
      <c r="G656" s="7"/>
      <c r="H656" s="7"/>
      <c r="I656" s="7"/>
      <c r="J656" s="7"/>
    </row>
    <row r="657" spans="2:10" x14ac:dyDescent="0.15">
      <c r="B657"/>
      <c r="C657"/>
      <c r="D657"/>
      <c r="E657"/>
      <c r="F657" s="7"/>
      <c r="G657" s="7"/>
      <c r="H657" s="7"/>
      <c r="I657" s="7"/>
      <c r="J657" s="7"/>
    </row>
    <row r="658" spans="2:10" x14ac:dyDescent="0.15">
      <c r="B658"/>
      <c r="C658"/>
      <c r="D658"/>
      <c r="E658"/>
      <c r="F658" s="7"/>
      <c r="G658" s="7"/>
      <c r="H658" s="7"/>
      <c r="I658" s="7"/>
      <c r="J658" s="7"/>
    </row>
    <row r="659" spans="2:10" x14ac:dyDescent="0.15">
      <c r="B659"/>
      <c r="C659"/>
      <c r="D659"/>
      <c r="E659"/>
      <c r="F659" s="7"/>
      <c r="G659" s="7"/>
      <c r="H659" s="7"/>
      <c r="I659" s="7"/>
      <c r="J659" s="7"/>
    </row>
    <row r="660" spans="2:10" x14ac:dyDescent="0.15">
      <c r="B660"/>
      <c r="C660"/>
      <c r="D660"/>
      <c r="E660"/>
      <c r="F660" s="7"/>
      <c r="G660" s="7"/>
      <c r="H660" s="7"/>
      <c r="I660" s="7"/>
      <c r="J660" s="7"/>
    </row>
    <row r="661" spans="2:10" x14ac:dyDescent="0.15">
      <c r="B661"/>
      <c r="C661"/>
      <c r="D661"/>
      <c r="E661"/>
      <c r="F661" s="7"/>
      <c r="G661" s="7"/>
      <c r="H661" s="7"/>
      <c r="I661" s="7"/>
      <c r="J661" s="7"/>
    </row>
    <row r="662" spans="2:10" x14ac:dyDescent="0.15">
      <c r="B662"/>
      <c r="C662"/>
      <c r="D662"/>
      <c r="E662"/>
      <c r="F662" s="7"/>
      <c r="G662" s="7"/>
      <c r="H662" s="7"/>
      <c r="I662" s="7"/>
      <c r="J662" s="7"/>
    </row>
    <row r="663" spans="2:10" x14ac:dyDescent="0.15">
      <c r="B663"/>
      <c r="C663"/>
      <c r="D663"/>
      <c r="E663"/>
      <c r="F663" s="7"/>
      <c r="G663" s="7"/>
      <c r="H663" s="7"/>
      <c r="I663" s="7"/>
      <c r="J663" s="7"/>
    </row>
    <row r="664" spans="2:10" x14ac:dyDescent="0.15">
      <c r="B664"/>
      <c r="C664"/>
      <c r="D664"/>
      <c r="E664"/>
      <c r="F664" s="7"/>
      <c r="G664" s="7"/>
      <c r="H664" s="7"/>
      <c r="I664" s="7"/>
      <c r="J664" s="7"/>
    </row>
    <row r="665" spans="2:10" x14ac:dyDescent="0.15">
      <c r="B665"/>
      <c r="C665"/>
      <c r="D665"/>
      <c r="E665"/>
      <c r="F665" s="7"/>
      <c r="G665" s="7"/>
      <c r="H665" s="7"/>
      <c r="I665" s="7"/>
      <c r="J665" s="7"/>
    </row>
    <row r="666" spans="2:10" x14ac:dyDescent="0.15">
      <c r="B666"/>
      <c r="C666"/>
      <c r="D666"/>
      <c r="E666"/>
      <c r="F666" s="7"/>
      <c r="G666" s="7"/>
      <c r="H666" s="7"/>
      <c r="I666" s="7"/>
      <c r="J666" s="7"/>
    </row>
    <row r="667" spans="2:10" x14ac:dyDescent="0.15">
      <c r="B667"/>
      <c r="C667"/>
      <c r="D667"/>
      <c r="E667"/>
      <c r="F667" s="7"/>
      <c r="G667" s="7"/>
      <c r="H667" s="7"/>
      <c r="I667" s="7"/>
      <c r="J667" s="7"/>
    </row>
    <row r="668" spans="2:10" x14ac:dyDescent="0.15">
      <c r="B668"/>
      <c r="C668"/>
      <c r="D668"/>
      <c r="E668"/>
      <c r="F668" s="7"/>
      <c r="G668" s="7"/>
      <c r="H668" s="7"/>
      <c r="I668" s="7"/>
      <c r="J668" s="7"/>
    </row>
    <row r="669" spans="2:10" x14ac:dyDescent="0.15">
      <c r="B669"/>
      <c r="C669"/>
      <c r="D669"/>
      <c r="E669"/>
      <c r="F669" s="7"/>
      <c r="G669" s="7"/>
      <c r="H669" s="7"/>
      <c r="I669" s="7"/>
      <c r="J669" s="7"/>
    </row>
    <row r="670" spans="2:10" x14ac:dyDescent="0.15">
      <c r="B670"/>
      <c r="C670"/>
      <c r="D670"/>
      <c r="E670"/>
      <c r="F670" s="7"/>
      <c r="G670" s="7"/>
      <c r="H670" s="7"/>
      <c r="I670" s="7"/>
      <c r="J670" s="7"/>
    </row>
    <row r="671" spans="2:10" x14ac:dyDescent="0.15">
      <c r="B671"/>
      <c r="C671"/>
      <c r="D671"/>
      <c r="E671"/>
      <c r="F671" s="7"/>
      <c r="G671" s="7"/>
      <c r="H671" s="7"/>
      <c r="I671" s="7"/>
      <c r="J671" s="7"/>
    </row>
    <row r="672" spans="2:10" x14ac:dyDescent="0.15">
      <c r="B672"/>
      <c r="C672"/>
      <c r="D672"/>
      <c r="E672"/>
      <c r="F672" s="7"/>
      <c r="G672" s="7"/>
      <c r="H672" s="7"/>
      <c r="I672" s="7"/>
      <c r="J672" s="7"/>
    </row>
    <row r="673" spans="2:10" x14ac:dyDescent="0.15">
      <c r="B673"/>
      <c r="C673"/>
      <c r="D673"/>
      <c r="E673"/>
      <c r="F673" s="7"/>
      <c r="G673" s="7"/>
      <c r="H673" s="7"/>
      <c r="I673" s="7"/>
      <c r="J673" s="7"/>
    </row>
    <row r="674" spans="2:10" x14ac:dyDescent="0.15">
      <c r="B674"/>
      <c r="C674"/>
      <c r="D674"/>
      <c r="E674"/>
      <c r="F674" s="7"/>
      <c r="G674" s="7"/>
      <c r="H674" s="7"/>
      <c r="I674" s="7"/>
      <c r="J674" s="7"/>
    </row>
    <row r="675" spans="2:10" x14ac:dyDescent="0.15">
      <c r="B675"/>
      <c r="C675"/>
      <c r="D675"/>
      <c r="E675"/>
      <c r="F675" s="7"/>
      <c r="G675" s="7"/>
      <c r="H675" s="7"/>
      <c r="I675" s="7"/>
      <c r="J675" s="7"/>
    </row>
    <row r="676" spans="2:10" x14ac:dyDescent="0.15">
      <c r="B676"/>
      <c r="C676"/>
      <c r="D676"/>
      <c r="E676"/>
      <c r="F676" s="7"/>
      <c r="G676" s="7"/>
      <c r="H676" s="7"/>
      <c r="I676" s="7"/>
      <c r="J676" s="7"/>
    </row>
    <row r="677" spans="2:10" x14ac:dyDescent="0.15">
      <c r="B677"/>
      <c r="C677"/>
      <c r="D677"/>
      <c r="E677"/>
      <c r="F677" s="7"/>
      <c r="G677" s="7"/>
      <c r="H677" s="7"/>
      <c r="I677" s="7"/>
      <c r="J677" s="7"/>
    </row>
    <row r="678" spans="2:10" x14ac:dyDescent="0.15">
      <c r="B678"/>
      <c r="C678"/>
      <c r="D678"/>
      <c r="E678"/>
      <c r="F678" s="7"/>
      <c r="G678" s="7"/>
      <c r="H678" s="7"/>
      <c r="I678" s="7"/>
      <c r="J678" s="7"/>
    </row>
    <row r="679" spans="2:10" x14ac:dyDescent="0.15">
      <c r="B679"/>
      <c r="C679"/>
      <c r="D679"/>
      <c r="E679"/>
      <c r="F679" s="7"/>
      <c r="G679" s="7"/>
      <c r="H679" s="7"/>
      <c r="I679" s="7"/>
      <c r="J679" s="7"/>
    </row>
    <row r="680" spans="2:10" x14ac:dyDescent="0.15">
      <c r="B680"/>
      <c r="C680"/>
      <c r="D680"/>
      <c r="E680"/>
      <c r="F680" s="7"/>
      <c r="G680" s="7"/>
      <c r="H680" s="7"/>
      <c r="I680" s="7"/>
      <c r="J680" s="7"/>
    </row>
    <row r="681" spans="2:10" x14ac:dyDescent="0.15">
      <c r="B681"/>
      <c r="C681"/>
      <c r="D681"/>
      <c r="E681"/>
      <c r="F681" s="7"/>
      <c r="G681" s="7"/>
      <c r="H681" s="7"/>
      <c r="I681" s="7"/>
      <c r="J681" s="7"/>
    </row>
    <row r="682" spans="2:10" x14ac:dyDescent="0.15">
      <c r="B682"/>
      <c r="C682"/>
      <c r="D682"/>
      <c r="E682"/>
      <c r="F682" s="7"/>
      <c r="G682" s="7"/>
      <c r="H682" s="7"/>
      <c r="I682" s="7"/>
      <c r="J682" s="7"/>
    </row>
    <row r="683" spans="2:10" x14ac:dyDescent="0.15">
      <c r="B683"/>
      <c r="C683"/>
      <c r="D683"/>
      <c r="E683"/>
      <c r="F683" s="7"/>
      <c r="G683" s="7"/>
      <c r="H683" s="7"/>
      <c r="I683" s="7"/>
      <c r="J683" s="7"/>
    </row>
    <row r="684" spans="2:10" x14ac:dyDescent="0.15">
      <c r="B684"/>
      <c r="C684"/>
      <c r="D684"/>
      <c r="E684"/>
      <c r="F684" s="7"/>
      <c r="G684" s="7"/>
      <c r="H684" s="7"/>
      <c r="I684" s="7"/>
      <c r="J684" s="7"/>
    </row>
    <row r="685" spans="2:10" x14ac:dyDescent="0.15">
      <c r="B685"/>
      <c r="C685"/>
      <c r="D685"/>
      <c r="E685"/>
      <c r="F685" s="7"/>
      <c r="G685" s="7"/>
      <c r="H685" s="7"/>
      <c r="I685" s="7"/>
      <c r="J685" s="7"/>
    </row>
    <row r="686" spans="2:10" x14ac:dyDescent="0.15">
      <c r="B686"/>
      <c r="C686"/>
      <c r="D686"/>
      <c r="E686"/>
      <c r="F686" s="7"/>
      <c r="G686" s="7"/>
      <c r="H686" s="7"/>
      <c r="I686" s="7"/>
      <c r="J686" s="7"/>
    </row>
    <row r="687" spans="2:10" x14ac:dyDescent="0.15">
      <c r="B687"/>
      <c r="C687"/>
      <c r="D687"/>
      <c r="E687"/>
      <c r="F687" s="7"/>
      <c r="G687" s="7"/>
      <c r="H687" s="7"/>
      <c r="I687" s="7"/>
      <c r="J687" s="7"/>
    </row>
    <row r="688" spans="2:10" x14ac:dyDescent="0.15">
      <c r="B688"/>
      <c r="C688"/>
      <c r="D688"/>
      <c r="E688"/>
      <c r="F688" s="7"/>
      <c r="G688" s="7"/>
      <c r="H688" s="7"/>
      <c r="I688" s="7"/>
      <c r="J688" s="7"/>
    </row>
    <row r="689" spans="2:10" x14ac:dyDescent="0.15">
      <c r="B689"/>
      <c r="C689"/>
      <c r="D689"/>
      <c r="E689"/>
      <c r="F689" s="7"/>
      <c r="G689" s="7"/>
      <c r="H689" s="7"/>
      <c r="I689" s="7"/>
      <c r="J689" s="7"/>
    </row>
    <row r="690" spans="2:10" x14ac:dyDescent="0.15">
      <c r="B690"/>
      <c r="C690"/>
      <c r="D690"/>
      <c r="E690"/>
      <c r="F690" s="7"/>
      <c r="G690" s="7"/>
      <c r="H690" s="7"/>
      <c r="I690" s="7"/>
      <c r="J690" s="7"/>
    </row>
    <row r="691" spans="2:10" x14ac:dyDescent="0.15">
      <c r="B691"/>
      <c r="C691"/>
      <c r="D691"/>
      <c r="E691"/>
      <c r="F691" s="7"/>
      <c r="G691" s="7"/>
      <c r="H691" s="7"/>
      <c r="I691" s="7"/>
      <c r="J691" s="7"/>
    </row>
    <row r="692" spans="2:10" x14ac:dyDescent="0.15">
      <c r="B692"/>
      <c r="C692"/>
      <c r="D692"/>
      <c r="E692"/>
      <c r="F692" s="7"/>
      <c r="G692" s="7"/>
      <c r="H692" s="7"/>
      <c r="I692" s="7"/>
      <c r="J692" s="7"/>
    </row>
    <row r="693" spans="2:10" x14ac:dyDescent="0.15">
      <c r="B693"/>
      <c r="C693"/>
      <c r="D693"/>
      <c r="E693"/>
      <c r="F693" s="7"/>
      <c r="G693" s="7"/>
      <c r="H693" s="7"/>
      <c r="I693" s="7"/>
      <c r="J693" s="7"/>
    </row>
    <row r="694" spans="2:10" x14ac:dyDescent="0.15">
      <c r="B694"/>
      <c r="C694"/>
      <c r="D694"/>
      <c r="E694"/>
      <c r="F694" s="7"/>
      <c r="G694" s="7"/>
      <c r="H694" s="7"/>
      <c r="I694" s="7"/>
      <c r="J694" s="7"/>
    </row>
    <row r="695" spans="2:10" x14ac:dyDescent="0.15">
      <c r="B695"/>
      <c r="C695"/>
      <c r="D695"/>
      <c r="E695"/>
      <c r="F695" s="7"/>
      <c r="G695" s="7"/>
      <c r="H695" s="7"/>
      <c r="I695" s="7"/>
      <c r="J695" s="7"/>
    </row>
    <row r="696" spans="2:10" x14ac:dyDescent="0.15">
      <c r="B696"/>
      <c r="C696"/>
      <c r="D696"/>
      <c r="E696"/>
      <c r="F696" s="7"/>
      <c r="G696" s="7"/>
      <c r="H696" s="7"/>
      <c r="I696" s="7"/>
      <c r="J696" s="7"/>
    </row>
    <row r="697" spans="2:10" x14ac:dyDescent="0.15">
      <c r="B697"/>
      <c r="C697"/>
      <c r="D697"/>
      <c r="E697"/>
      <c r="F697" s="7"/>
      <c r="G697" s="7"/>
      <c r="H697" s="7"/>
      <c r="I697" s="7"/>
      <c r="J697" s="7"/>
    </row>
    <row r="698" spans="2:10" x14ac:dyDescent="0.15">
      <c r="B698"/>
      <c r="C698"/>
      <c r="D698"/>
      <c r="E698"/>
      <c r="F698" s="7"/>
      <c r="G698" s="7"/>
      <c r="H698" s="7"/>
      <c r="I698" s="7"/>
      <c r="J698" s="7"/>
    </row>
    <row r="699" spans="2:10" x14ac:dyDescent="0.15">
      <c r="B699"/>
      <c r="C699"/>
      <c r="D699"/>
      <c r="E699"/>
      <c r="F699" s="7"/>
      <c r="G699" s="7"/>
      <c r="H699" s="7"/>
      <c r="I699" s="7"/>
      <c r="J699" s="7"/>
    </row>
    <row r="700" spans="2:10" x14ac:dyDescent="0.15">
      <c r="B700"/>
      <c r="C700"/>
      <c r="D700"/>
      <c r="E700"/>
      <c r="F700" s="7"/>
      <c r="G700" s="7"/>
      <c r="H700" s="7"/>
      <c r="I700" s="7"/>
      <c r="J700" s="7"/>
    </row>
    <row r="701" spans="2:10" x14ac:dyDescent="0.15">
      <c r="B701"/>
      <c r="C701"/>
      <c r="D701"/>
      <c r="E701"/>
      <c r="F701" s="7"/>
      <c r="G701" s="7"/>
      <c r="H701" s="7"/>
      <c r="I701" s="7"/>
      <c r="J701" s="7"/>
    </row>
    <row r="702" spans="2:10" x14ac:dyDescent="0.15">
      <c r="B702"/>
      <c r="C702"/>
      <c r="D702"/>
      <c r="E702"/>
      <c r="F702" s="7"/>
      <c r="G702" s="7"/>
      <c r="H702" s="7"/>
      <c r="I702" s="7"/>
      <c r="J702" s="7"/>
    </row>
    <row r="703" spans="2:10" x14ac:dyDescent="0.15">
      <c r="B703"/>
      <c r="C703"/>
      <c r="D703"/>
      <c r="E703"/>
      <c r="F703" s="7"/>
      <c r="G703" s="7"/>
      <c r="H703" s="7"/>
      <c r="I703" s="7"/>
      <c r="J703" s="7"/>
    </row>
    <row r="704" spans="2:10" x14ac:dyDescent="0.15">
      <c r="B704"/>
      <c r="C704"/>
      <c r="D704"/>
      <c r="E704"/>
      <c r="F704" s="7"/>
      <c r="G704" s="7"/>
      <c r="H704" s="7"/>
      <c r="I704" s="7"/>
      <c r="J704" s="7"/>
    </row>
    <row r="705" spans="2:10" x14ac:dyDescent="0.15">
      <c r="B705"/>
      <c r="C705"/>
      <c r="D705"/>
      <c r="E705"/>
      <c r="F705" s="7"/>
      <c r="G705" s="7"/>
      <c r="H705" s="7"/>
      <c r="I705" s="7"/>
      <c r="J705" s="7"/>
    </row>
    <row r="706" spans="2:10" x14ac:dyDescent="0.15">
      <c r="B706"/>
      <c r="C706"/>
      <c r="D706"/>
      <c r="E706"/>
      <c r="F706" s="7"/>
      <c r="G706" s="7"/>
      <c r="H706" s="7"/>
      <c r="I706" s="7"/>
      <c r="J706" s="7"/>
    </row>
    <row r="707" spans="2:10" x14ac:dyDescent="0.15">
      <c r="B707"/>
      <c r="C707"/>
      <c r="D707"/>
      <c r="E707"/>
      <c r="F707" s="7"/>
      <c r="G707" s="7"/>
      <c r="H707" s="7"/>
      <c r="I707" s="7"/>
      <c r="J707" s="7"/>
    </row>
    <row r="708" spans="2:10" x14ac:dyDescent="0.15">
      <c r="B708"/>
      <c r="C708"/>
      <c r="D708"/>
      <c r="E708"/>
      <c r="F708" s="7"/>
      <c r="G708" s="7"/>
      <c r="H708" s="7"/>
      <c r="I708" s="7"/>
      <c r="J708" s="7"/>
    </row>
    <row r="709" spans="2:10" x14ac:dyDescent="0.15">
      <c r="B709"/>
      <c r="C709"/>
      <c r="D709"/>
      <c r="E709"/>
      <c r="F709" s="7"/>
      <c r="G709" s="7"/>
      <c r="H709" s="7"/>
      <c r="I709" s="7"/>
      <c r="J709" s="7"/>
    </row>
    <row r="710" spans="2:10" x14ac:dyDescent="0.15">
      <c r="B710"/>
      <c r="C710"/>
      <c r="D710"/>
      <c r="E710"/>
      <c r="F710" s="7"/>
      <c r="G710" s="7"/>
      <c r="H710" s="7"/>
      <c r="I710" s="7"/>
      <c r="J710" s="7"/>
    </row>
    <row r="711" spans="2:10" x14ac:dyDescent="0.15">
      <c r="B711"/>
      <c r="C711"/>
      <c r="D711"/>
      <c r="E711"/>
      <c r="F711" s="7"/>
      <c r="G711" s="7"/>
      <c r="H711" s="7"/>
      <c r="I711" s="7"/>
      <c r="J711" s="7"/>
    </row>
    <row r="712" spans="2:10" x14ac:dyDescent="0.15">
      <c r="B712"/>
      <c r="C712"/>
      <c r="D712"/>
      <c r="E712"/>
      <c r="F712" s="7"/>
      <c r="G712" s="7"/>
      <c r="H712" s="7"/>
      <c r="I712" s="7"/>
      <c r="J712" s="7"/>
    </row>
    <row r="713" spans="2:10" x14ac:dyDescent="0.15">
      <c r="B713"/>
      <c r="C713"/>
      <c r="D713"/>
      <c r="E713"/>
      <c r="F713" s="7"/>
      <c r="G713" s="7"/>
      <c r="H713" s="7"/>
      <c r="I713" s="7"/>
      <c r="J713" s="7"/>
    </row>
    <row r="714" spans="2:10" x14ac:dyDescent="0.15">
      <c r="B714"/>
      <c r="C714"/>
      <c r="D714"/>
      <c r="E714"/>
      <c r="F714" s="7"/>
      <c r="G714" s="7"/>
      <c r="H714" s="7"/>
      <c r="I714" s="7"/>
      <c r="J714" s="7"/>
    </row>
    <row r="715" spans="2:10" x14ac:dyDescent="0.15">
      <c r="B715"/>
      <c r="C715"/>
      <c r="D715"/>
      <c r="E715"/>
      <c r="F715" s="7"/>
      <c r="G715" s="7"/>
      <c r="H715" s="7"/>
      <c r="I715" s="7"/>
      <c r="J715" s="7"/>
    </row>
    <row r="716" spans="2:10" x14ac:dyDescent="0.15">
      <c r="B716"/>
      <c r="C716"/>
      <c r="D716"/>
      <c r="E716"/>
      <c r="F716" s="7"/>
      <c r="G716" s="7"/>
      <c r="H716" s="7"/>
      <c r="I716" s="7"/>
      <c r="J716" s="7"/>
    </row>
    <row r="717" spans="2:10" x14ac:dyDescent="0.15">
      <c r="B717"/>
      <c r="C717"/>
      <c r="D717"/>
      <c r="E717"/>
      <c r="F717" s="7"/>
      <c r="G717" s="7"/>
      <c r="H717" s="7"/>
      <c r="I717" s="7"/>
      <c r="J717" s="7"/>
    </row>
    <row r="718" spans="2:10" x14ac:dyDescent="0.15">
      <c r="B718"/>
      <c r="C718"/>
      <c r="D718"/>
      <c r="E718"/>
      <c r="F718" s="7"/>
      <c r="G718" s="7"/>
      <c r="H718" s="7"/>
      <c r="I718" s="7"/>
      <c r="J718" s="7"/>
    </row>
    <row r="719" spans="2:10" x14ac:dyDescent="0.15">
      <c r="B719"/>
      <c r="C719"/>
      <c r="D719"/>
      <c r="E719"/>
      <c r="F719" s="7"/>
      <c r="G719" s="7"/>
      <c r="H719" s="7"/>
      <c r="I719" s="7"/>
      <c r="J719" s="7"/>
    </row>
    <row r="720" spans="2:10" x14ac:dyDescent="0.15">
      <c r="B720"/>
      <c r="C720"/>
      <c r="D720"/>
      <c r="E720"/>
      <c r="F720" s="7"/>
      <c r="G720" s="7"/>
      <c r="H720" s="7"/>
      <c r="I720" s="7"/>
      <c r="J720" s="7"/>
    </row>
    <row r="721" spans="2:10" x14ac:dyDescent="0.15">
      <c r="B721"/>
      <c r="C721"/>
      <c r="D721"/>
      <c r="E721"/>
      <c r="F721" s="7"/>
      <c r="G721" s="7"/>
      <c r="H721" s="7"/>
      <c r="I721" s="7"/>
      <c r="J721" s="7"/>
    </row>
    <row r="722" spans="2:10" x14ac:dyDescent="0.15">
      <c r="B722"/>
      <c r="C722"/>
      <c r="D722"/>
      <c r="E722"/>
      <c r="F722" s="7"/>
      <c r="G722" s="7"/>
      <c r="H722" s="7"/>
      <c r="I722" s="7"/>
      <c r="J722" s="7"/>
    </row>
  </sheetData>
  <mergeCells count="2">
    <mergeCell ref="C1:C2"/>
    <mergeCell ref="F1:J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2"/>
  <sheetViews>
    <sheetView topLeftCell="A52" workbookViewId="0">
      <selection activeCell="B21" sqref="B21"/>
    </sheetView>
  </sheetViews>
  <sheetFormatPr defaultRowHeight="13.5" x14ac:dyDescent="0.15"/>
  <cols>
    <col min="2" max="5" width="12.625" style="2" customWidth="1"/>
    <col min="6" max="10" width="9.625" style="4" customWidth="1"/>
  </cols>
  <sheetData>
    <row r="1" spans="2:12" ht="13.5" customHeight="1" x14ac:dyDescent="0.15">
      <c r="B1" s="8" t="s">
        <v>7</v>
      </c>
      <c r="C1" s="14" t="s">
        <v>10</v>
      </c>
      <c r="D1" s="8" t="s">
        <v>11</v>
      </c>
      <c r="E1" s="8" t="s">
        <v>1</v>
      </c>
      <c r="F1" s="16" t="s">
        <v>20</v>
      </c>
      <c r="G1" s="17"/>
      <c r="H1" s="17"/>
      <c r="I1" s="17"/>
      <c r="J1" s="18"/>
    </row>
    <row r="2" spans="2:12" x14ac:dyDescent="0.15">
      <c r="B2" s="9" t="s">
        <v>9</v>
      </c>
      <c r="C2" s="15"/>
      <c r="D2" s="9" t="s">
        <v>12</v>
      </c>
      <c r="E2" s="9" t="s">
        <v>15</v>
      </c>
      <c r="F2" s="4" t="s">
        <v>8</v>
      </c>
      <c r="G2" s="4" t="s">
        <v>3</v>
      </c>
      <c r="H2" s="4" t="s">
        <v>4</v>
      </c>
      <c r="I2" s="4" t="s">
        <v>5</v>
      </c>
      <c r="J2" s="4" t="s">
        <v>6</v>
      </c>
    </row>
    <row r="3" spans="2:12" x14ac:dyDescent="0.15">
      <c r="B3" s="2">
        <v>1</v>
      </c>
      <c r="C3" s="2">
        <f>B3+1</f>
        <v>2</v>
      </c>
      <c r="D3" s="3">
        <f>C3^0.5</f>
        <v>1.4142135623730951</v>
      </c>
      <c r="E3" s="3">
        <f>4*3^0.5*D3/3</f>
        <v>3.2659863237109046</v>
      </c>
      <c r="F3" s="5">
        <f>(8+16*B3)/E3^3</f>
        <v>0.68891899015776858</v>
      </c>
      <c r="G3" s="5">
        <f>F3*2</f>
        <v>1.3778379803155372</v>
      </c>
      <c r="H3" s="5">
        <f>F3*3</f>
        <v>2.066756970473306</v>
      </c>
      <c r="I3" s="5">
        <f>F3*4</f>
        <v>2.7556759606310743</v>
      </c>
      <c r="J3" s="5">
        <f>F3*5</f>
        <v>3.4445949507888427</v>
      </c>
      <c r="L3" t="s">
        <v>12</v>
      </c>
    </row>
    <row r="4" spans="2:12" x14ac:dyDescent="0.15">
      <c r="B4" s="2">
        <v>2</v>
      </c>
      <c r="C4" s="2">
        <f t="shared" ref="C4:C67" si="0">B4+1</f>
        <v>3</v>
      </c>
      <c r="D4" s="3">
        <f t="shared" ref="D4:D67" si="1">C4^0.5</f>
        <v>1.7320508075688772</v>
      </c>
      <c r="E4" s="3">
        <f t="shared" ref="E4:E67" si="2">4*3^0.5*D4/3</f>
        <v>3.9999999999999996</v>
      </c>
      <c r="F4" s="5">
        <f t="shared" ref="F4:F67" si="3">(8+16*B4)/E4^3</f>
        <v>0.62500000000000022</v>
      </c>
      <c r="G4" s="5">
        <f t="shared" ref="G4:G67" si="4">F4*2</f>
        <v>1.2500000000000004</v>
      </c>
      <c r="H4" s="5">
        <f t="shared" ref="H4:H67" si="5">F4*3</f>
        <v>1.8750000000000007</v>
      </c>
      <c r="I4" s="5">
        <f t="shared" ref="I4:I67" si="6">F4*4</f>
        <v>2.5000000000000009</v>
      </c>
      <c r="J4" s="5">
        <f t="shared" ref="J4:J67" si="7">F4*5</f>
        <v>3.1250000000000009</v>
      </c>
      <c r="L4" t="s">
        <v>13</v>
      </c>
    </row>
    <row r="5" spans="2:12" x14ac:dyDescent="0.15">
      <c r="B5" s="2">
        <v>3</v>
      </c>
      <c r="C5" s="2">
        <f t="shared" si="0"/>
        <v>4</v>
      </c>
      <c r="D5" s="3">
        <f t="shared" si="1"/>
        <v>2</v>
      </c>
      <c r="E5" s="3">
        <f t="shared" si="2"/>
        <v>4.6188021535170058</v>
      </c>
      <c r="F5" s="5">
        <f t="shared" si="3"/>
        <v>0.56832917123353788</v>
      </c>
      <c r="G5" s="5">
        <f t="shared" si="4"/>
        <v>1.1366583424670758</v>
      </c>
      <c r="H5" s="5">
        <f t="shared" si="5"/>
        <v>1.7049875137006136</v>
      </c>
      <c r="I5" s="5">
        <f t="shared" si="6"/>
        <v>2.2733166849341515</v>
      </c>
      <c r="J5" s="5">
        <f t="shared" si="7"/>
        <v>2.8416458561676894</v>
      </c>
      <c r="L5" t="s">
        <v>14</v>
      </c>
    </row>
    <row r="6" spans="2:12" x14ac:dyDescent="0.15">
      <c r="B6" s="2">
        <v>4</v>
      </c>
      <c r="C6" s="2">
        <f t="shared" si="0"/>
        <v>5</v>
      </c>
      <c r="D6" s="3">
        <f t="shared" si="1"/>
        <v>2.2360679774997898</v>
      </c>
      <c r="E6" s="3">
        <f t="shared" si="2"/>
        <v>5.1639777949432224</v>
      </c>
      <c r="F6" s="5">
        <f t="shared" si="3"/>
        <v>0.52285275173800139</v>
      </c>
      <c r="G6" s="5">
        <f t="shared" si="4"/>
        <v>1.0457055034760028</v>
      </c>
      <c r="H6" s="5">
        <f t="shared" si="5"/>
        <v>1.568558255214004</v>
      </c>
      <c r="I6" s="5">
        <f t="shared" si="6"/>
        <v>2.0914110069520055</v>
      </c>
      <c r="J6" s="5">
        <f t="shared" si="7"/>
        <v>2.614263758690007</v>
      </c>
    </row>
    <row r="7" spans="2:12" x14ac:dyDescent="0.15">
      <c r="B7" s="2">
        <v>5</v>
      </c>
      <c r="C7" s="2">
        <f t="shared" si="0"/>
        <v>6</v>
      </c>
      <c r="D7" s="3">
        <f t="shared" si="1"/>
        <v>2.4494897427831779</v>
      </c>
      <c r="E7" s="3">
        <f t="shared" si="2"/>
        <v>5.6568542494923797</v>
      </c>
      <c r="F7" s="5">
        <f t="shared" si="3"/>
        <v>0.48613591206575152</v>
      </c>
      <c r="G7" s="5">
        <f t="shared" si="4"/>
        <v>0.97227182413150304</v>
      </c>
      <c r="H7" s="5">
        <f t="shared" si="5"/>
        <v>1.4584077361972545</v>
      </c>
      <c r="I7" s="5">
        <f t="shared" si="6"/>
        <v>1.9445436482630061</v>
      </c>
      <c r="J7" s="5">
        <f t="shared" si="7"/>
        <v>2.4306795603287576</v>
      </c>
      <c r="L7" t="s">
        <v>15</v>
      </c>
    </row>
    <row r="8" spans="2:12" x14ac:dyDescent="0.15">
      <c r="B8" s="2">
        <v>6</v>
      </c>
      <c r="C8" s="2">
        <f t="shared" si="0"/>
        <v>7</v>
      </c>
      <c r="D8" s="3">
        <f t="shared" si="1"/>
        <v>2.6457513110645907</v>
      </c>
      <c r="E8" s="3">
        <f t="shared" si="2"/>
        <v>6.1101009266077861</v>
      </c>
      <c r="F8" s="5">
        <f t="shared" si="3"/>
        <v>0.455919520671627</v>
      </c>
      <c r="G8" s="5">
        <f t="shared" si="4"/>
        <v>0.911839041343254</v>
      </c>
      <c r="H8" s="5">
        <f t="shared" si="5"/>
        <v>1.3677585620148811</v>
      </c>
      <c r="I8" s="5">
        <f t="shared" si="6"/>
        <v>1.823678082686508</v>
      </c>
      <c r="J8" s="5">
        <f t="shared" si="7"/>
        <v>2.2795976033581349</v>
      </c>
      <c r="L8" t="s">
        <v>30</v>
      </c>
    </row>
    <row r="9" spans="2:12" x14ac:dyDescent="0.15">
      <c r="B9" s="2">
        <v>7</v>
      </c>
      <c r="C9" s="2">
        <f t="shared" si="0"/>
        <v>8</v>
      </c>
      <c r="D9" s="3">
        <f t="shared" si="1"/>
        <v>2.8284271247461903</v>
      </c>
      <c r="E9" s="3">
        <f t="shared" si="2"/>
        <v>6.5319726474218092</v>
      </c>
      <c r="F9" s="5">
        <f t="shared" si="3"/>
        <v>0.43057436884860534</v>
      </c>
      <c r="G9" s="6">
        <f t="shared" si="4"/>
        <v>0.86114873769721068</v>
      </c>
      <c r="H9" s="5">
        <f t="shared" si="5"/>
        <v>1.2917231065458159</v>
      </c>
      <c r="I9" s="5">
        <f t="shared" si="6"/>
        <v>1.7222974753944214</v>
      </c>
      <c r="J9" s="5">
        <f t="shared" si="7"/>
        <v>2.1528718442430268</v>
      </c>
      <c r="L9" t="s">
        <v>21</v>
      </c>
    </row>
    <row r="10" spans="2:12" x14ac:dyDescent="0.15">
      <c r="B10" s="2">
        <v>8</v>
      </c>
      <c r="C10" s="2">
        <f t="shared" si="0"/>
        <v>9</v>
      </c>
      <c r="D10" s="3">
        <f t="shared" si="1"/>
        <v>3</v>
      </c>
      <c r="E10" s="3">
        <f t="shared" si="2"/>
        <v>6.9282032302755097</v>
      </c>
      <c r="F10" s="5">
        <f t="shared" si="3"/>
        <v>0.40895644067598486</v>
      </c>
      <c r="G10" s="5">
        <f t="shared" si="4"/>
        <v>0.81791288135196971</v>
      </c>
      <c r="H10" s="5">
        <f t="shared" si="5"/>
        <v>1.2268693220279545</v>
      </c>
      <c r="I10" s="5">
        <f t="shared" si="6"/>
        <v>1.6358257627039394</v>
      </c>
      <c r="J10" s="5">
        <f t="shared" si="7"/>
        <v>2.0447822033799241</v>
      </c>
      <c r="L10" t="s">
        <v>17</v>
      </c>
    </row>
    <row r="11" spans="2:12" x14ac:dyDescent="0.15">
      <c r="B11" s="2">
        <v>9</v>
      </c>
      <c r="C11" s="2">
        <f t="shared" si="0"/>
        <v>10</v>
      </c>
      <c r="D11" s="3">
        <f t="shared" si="1"/>
        <v>3.1622776601683795</v>
      </c>
      <c r="E11" s="3">
        <f t="shared" si="2"/>
        <v>7.3029674334022152</v>
      </c>
      <c r="F11" s="5">
        <f t="shared" si="3"/>
        <v>0.39025232222243078</v>
      </c>
      <c r="G11" s="5">
        <f t="shared" si="4"/>
        <v>0.78050464444486156</v>
      </c>
      <c r="H11" s="5">
        <f t="shared" si="5"/>
        <v>1.1707569666672923</v>
      </c>
      <c r="I11" s="5">
        <f t="shared" si="6"/>
        <v>1.5610092888897231</v>
      </c>
      <c r="J11" s="5">
        <f t="shared" si="7"/>
        <v>1.9512616111121539</v>
      </c>
      <c r="L11" t="s">
        <v>16</v>
      </c>
    </row>
    <row r="12" spans="2:12" x14ac:dyDescent="0.15">
      <c r="B12" s="2">
        <v>10</v>
      </c>
      <c r="C12" s="2">
        <f t="shared" si="0"/>
        <v>11</v>
      </c>
      <c r="D12" s="3">
        <f t="shared" si="1"/>
        <v>3.3166247903553998</v>
      </c>
      <c r="E12" s="3">
        <f t="shared" si="2"/>
        <v>7.6594168620507048</v>
      </c>
      <c r="F12" s="5">
        <f t="shared" si="3"/>
        <v>0.37387132926848743</v>
      </c>
      <c r="G12" s="5">
        <f t="shared" si="4"/>
        <v>0.74774265853697486</v>
      </c>
      <c r="H12" s="5">
        <f t="shared" si="5"/>
        <v>1.1216139878054623</v>
      </c>
      <c r="I12" s="5">
        <f t="shared" si="6"/>
        <v>1.4954853170739497</v>
      </c>
      <c r="J12" s="5">
        <f t="shared" si="7"/>
        <v>1.8693566463424371</v>
      </c>
      <c r="L12" t="s">
        <v>18</v>
      </c>
    </row>
    <row r="13" spans="2:12" x14ac:dyDescent="0.15">
      <c r="B13" s="2">
        <v>11</v>
      </c>
      <c r="C13" s="2">
        <f t="shared" si="0"/>
        <v>12</v>
      </c>
      <c r="D13" s="3">
        <f t="shared" si="1"/>
        <v>3.4641016151377544</v>
      </c>
      <c r="E13" s="3">
        <f t="shared" si="2"/>
        <v>7.9999999999999991</v>
      </c>
      <c r="F13" s="5">
        <f t="shared" si="3"/>
        <v>0.35937500000000011</v>
      </c>
      <c r="G13" s="5">
        <f t="shared" si="4"/>
        <v>0.71875000000000022</v>
      </c>
      <c r="H13" s="5">
        <f t="shared" si="5"/>
        <v>1.0781250000000004</v>
      </c>
      <c r="I13" s="5">
        <f t="shared" si="6"/>
        <v>1.4375000000000004</v>
      </c>
      <c r="J13" s="5">
        <f t="shared" si="7"/>
        <v>1.7968750000000004</v>
      </c>
      <c r="L13" t="s">
        <v>19</v>
      </c>
    </row>
    <row r="14" spans="2:12" x14ac:dyDescent="0.15">
      <c r="B14" s="2">
        <v>12</v>
      </c>
      <c r="C14" s="2">
        <f t="shared" si="0"/>
        <v>13</v>
      </c>
      <c r="D14" s="3">
        <f t="shared" si="1"/>
        <v>3.6055512754639891</v>
      </c>
      <c r="E14" s="3">
        <f t="shared" si="2"/>
        <v>8.3266639978645305</v>
      </c>
      <c r="F14" s="5">
        <f t="shared" si="3"/>
        <v>0.34643110198215971</v>
      </c>
      <c r="G14" s="5">
        <f t="shared" si="4"/>
        <v>0.69286220396431941</v>
      </c>
      <c r="H14" s="5">
        <f t="shared" si="5"/>
        <v>1.0392933059464791</v>
      </c>
      <c r="I14" s="5">
        <f t="shared" si="6"/>
        <v>1.3857244079286388</v>
      </c>
      <c r="J14" s="5">
        <f t="shared" si="7"/>
        <v>1.7321555099107986</v>
      </c>
    </row>
    <row r="15" spans="2:12" x14ac:dyDescent="0.15">
      <c r="B15" s="2">
        <v>13</v>
      </c>
      <c r="C15" s="2">
        <f t="shared" si="0"/>
        <v>14</v>
      </c>
      <c r="D15" s="3">
        <f t="shared" si="1"/>
        <v>3.7416573867739413</v>
      </c>
      <c r="E15" s="3">
        <f t="shared" si="2"/>
        <v>8.640987597877146</v>
      </c>
      <c r="F15" s="5">
        <f t="shared" si="3"/>
        <v>0.3347831610784674</v>
      </c>
      <c r="G15" s="5">
        <f t="shared" si="4"/>
        <v>0.66956632215693479</v>
      </c>
      <c r="H15" s="5">
        <f t="shared" si="5"/>
        <v>1.0043494832354023</v>
      </c>
      <c r="I15" s="5">
        <f t="shared" si="6"/>
        <v>1.3391326443138696</v>
      </c>
      <c r="J15" s="5">
        <f t="shared" si="7"/>
        <v>1.6739158053923369</v>
      </c>
      <c r="L15" t="s">
        <v>22</v>
      </c>
    </row>
    <row r="16" spans="2:12" x14ac:dyDescent="0.15">
      <c r="B16" s="2">
        <v>14</v>
      </c>
      <c r="C16" s="2">
        <f t="shared" si="0"/>
        <v>15</v>
      </c>
      <c r="D16" s="3">
        <f t="shared" si="1"/>
        <v>3.872983346207417</v>
      </c>
      <c r="E16" s="3">
        <f t="shared" si="2"/>
        <v>8.9442719099991574</v>
      </c>
      <c r="F16" s="5">
        <f t="shared" si="3"/>
        <v>0.32422985673746962</v>
      </c>
      <c r="G16" s="5">
        <f t="shared" si="4"/>
        <v>0.64845971347493925</v>
      </c>
      <c r="H16" s="5">
        <f t="shared" si="5"/>
        <v>0.97268957021240887</v>
      </c>
      <c r="I16" s="5">
        <f t="shared" si="6"/>
        <v>1.2969194269498785</v>
      </c>
      <c r="J16" s="5">
        <f t="shared" si="7"/>
        <v>1.6211492836873482</v>
      </c>
      <c r="L16" t="s">
        <v>23</v>
      </c>
    </row>
    <row r="17" spans="2:12" x14ac:dyDescent="0.15">
      <c r="B17" s="2">
        <v>15</v>
      </c>
      <c r="C17" s="2">
        <f t="shared" si="0"/>
        <v>16</v>
      </c>
      <c r="D17" s="3">
        <f t="shared" si="1"/>
        <v>4</v>
      </c>
      <c r="E17" s="3">
        <f t="shared" si="2"/>
        <v>9.2376043070340117</v>
      </c>
      <c r="F17" s="5">
        <f t="shared" si="3"/>
        <v>0.31461079121856561</v>
      </c>
      <c r="G17" s="5">
        <f t="shared" si="4"/>
        <v>0.62922158243713122</v>
      </c>
      <c r="H17" s="5">
        <f t="shared" si="5"/>
        <v>0.94383237365569683</v>
      </c>
      <c r="I17" s="5">
        <f t="shared" si="6"/>
        <v>1.2584431648742624</v>
      </c>
      <c r="J17" s="5">
        <f t="shared" si="7"/>
        <v>1.5730539560928281</v>
      </c>
      <c r="L17" t="s">
        <v>24</v>
      </c>
    </row>
    <row r="18" spans="2:12" x14ac:dyDescent="0.15">
      <c r="B18" s="2">
        <v>16</v>
      </c>
      <c r="C18" s="2">
        <f t="shared" si="0"/>
        <v>17</v>
      </c>
      <c r="D18" s="3">
        <f t="shared" si="1"/>
        <v>4.1231056256176606</v>
      </c>
      <c r="E18" s="3">
        <f t="shared" si="2"/>
        <v>9.5219045713904666</v>
      </c>
      <c r="F18" s="5">
        <f t="shared" si="3"/>
        <v>0.30579645952670509</v>
      </c>
      <c r="G18" s="5">
        <f t="shared" si="4"/>
        <v>0.61159291905341018</v>
      </c>
      <c r="H18" s="5">
        <f t="shared" si="5"/>
        <v>0.91738937858011527</v>
      </c>
      <c r="I18" s="5">
        <f t="shared" si="6"/>
        <v>1.2231858381068204</v>
      </c>
      <c r="J18" s="5">
        <f t="shared" si="7"/>
        <v>1.5289822976335254</v>
      </c>
      <c r="L18" t="s">
        <v>25</v>
      </c>
    </row>
    <row r="19" spans="2:12" x14ac:dyDescent="0.15">
      <c r="B19" s="2">
        <v>17</v>
      </c>
      <c r="C19" s="2">
        <f t="shared" si="0"/>
        <v>18</v>
      </c>
      <c r="D19" s="3">
        <f t="shared" si="1"/>
        <v>4.2426406871192848</v>
      </c>
      <c r="E19" s="3">
        <f t="shared" si="2"/>
        <v>9.7979589711327115</v>
      </c>
      <c r="F19" s="5">
        <f t="shared" si="3"/>
        <v>0.29768104512990018</v>
      </c>
      <c r="G19" s="5">
        <f t="shared" si="4"/>
        <v>0.59536209025980036</v>
      </c>
      <c r="H19" s="5">
        <f t="shared" si="5"/>
        <v>0.89304313538970059</v>
      </c>
      <c r="I19" s="5">
        <f t="shared" si="6"/>
        <v>1.1907241805196007</v>
      </c>
      <c r="J19" s="5">
        <f t="shared" si="7"/>
        <v>1.4884052256495008</v>
      </c>
      <c r="L19" t="s">
        <v>26</v>
      </c>
    </row>
    <row r="20" spans="2:12" x14ac:dyDescent="0.15">
      <c r="B20" s="2">
        <v>18</v>
      </c>
      <c r="C20" s="2">
        <f t="shared" si="0"/>
        <v>19</v>
      </c>
      <c r="D20" s="3">
        <f t="shared" si="1"/>
        <v>4.358898943540674</v>
      </c>
      <c r="E20" s="3">
        <f t="shared" si="2"/>
        <v>10.066445913694333</v>
      </c>
      <c r="F20" s="5">
        <f t="shared" si="3"/>
        <v>0.29017715454122345</v>
      </c>
      <c r="G20" s="5">
        <f t="shared" si="4"/>
        <v>0.5803543090824469</v>
      </c>
      <c r="H20" s="5">
        <f t="shared" si="5"/>
        <v>0.87053146362367029</v>
      </c>
      <c r="I20" s="5">
        <f t="shared" si="6"/>
        <v>1.1607086181648938</v>
      </c>
      <c r="J20" s="5">
        <f t="shared" si="7"/>
        <v>1.4508857727061173</v>
      </c>
      <c r="L20" t="s">
        <v>27</v>
      </c>
    </row>
    <row r="21" spans="2:12" x14ac:dyDescent="0.15">
      <c r="B21" s="2">
        <v>19</v>
      </c>
      <c r="C21" s="2">
        <f t="shared" si="0"/>
        <v>20</v>
      </c>
      <c r="D21" s="3">
        <f t="shared" si="1"/>
        <v>4.4721359549995796</v>
      </c>
      <c r="E21" s="3">
        <f t="shared" si="2"/>
        <v>10.327955589886445</v>
      </c>
      <c r="F21" s="5">
        <f t="shared" si="3"/>
        <v>0.28321190719141742</v>
      </c>
      <c r="G21" s="5">
        <f t="shared" si="4"/>
        <v>0.56642381438283484</v>
      </c>
      <c r="H21" s="6">
        <f t="shared" si="5"/>
        <v>0.84963572157425227</v>
      </c>
      <c r="I21" s="5">
        <f t="shared" si="6"/>
        <v>1.1328476287656697</v>
      </c>
      <c r="J21" s="5">
        <f t="shared" si="7"/>
        <v>1.4160595359570871</v>
      </c>
      <c r="L21" t="s">
        <v>28</v>
      </c>
    </row>
    <row r="22" spans="2:12" x14ac:dyDescent="0.15">
      <c r="B22" s="2">
        <v>20</v>
      </c>
      <c r="C22" s="2">
        <f t="shared" si="0"/>
        <v>21</v>
      </c>
      <c r="D22" s="3">
        <f t="shared" si="1"/>
        <v>4.5825756949558398</v>
      </c>
      <c r="E22" s="3">
        <f t="shared" si="2"/>
        <v>10.583005244258361</v>
      </c>
      <c r="F22" s="5">
        <f t="shared" si="3"/>
        <v>0.27672398916747004</v>
      </c>
      <c r="G22" s="5">
        <f t="shared" si="4"/>
        <v>0.55344797833494008</v>
      </c>
      <c r="H22" s="5">
        <f t="shared" si="5"/>
        <v>0.83017196750241018</v>
      </c>
      <c r="I22" s="5">
        <f t="shared" si="6"/>
        <v>1.1068959566698802</v>
      </c>
      <c r="J22" s="5">
        <f t="shared" si="7"/>
        <v>1.3836199458373502</v>
      </c>
      <c r="L22" t="s">
        <v>29</v>
      </c>
    </row>
    <row r="23" spans="2:12" x14ac:dyDescent="0.15">
      <c r="B23" s="2">
        <v>21</v>
      </c>
      <c r="C23" s="2">
        <f t="shared" si="0"/>
        <v>22</v>
      </c>
      <c r="D23" s="3">
        <f t="shared" si="1"/>
        <v>4.6904157598234297</v>
      </c>
      <c r="E23" s="3">
        <f t="shared" si="2"/>
        <v>10.832051206181282</v>
      </c>
      <c r="F23" s="5">
        <f t="shared" si="3"/>
        <v>0.2706614034602372</v>
      </c>
      <c r="G23" s="5">
        <f t="shared" si="4"/>
        <v>0.54132280692047441</v>
      </c>
      <c r="H23" s="5">
        <f t="shared" si="5"/>
        <v>0.81198421038071156</v>
      </c>
      <c r="I23" s="5">
        <f t="shared" si="6"/>
        <v>1.0826456138409488</v>
      </c>
      <c r="J23" s="5">
        <f t="shared" si="7"/>
        <v>1.3533070173011861</v>
      </c>
    </row>
    <row r="24" spans="2:12" x14ac:dyDescent="0.15">
      <c r="B24" s="2">
        <v>22</v>
      </c>
      <c r="C24" s="2">
        <f t="shared" si="0"/>
        <v>23</v>
      </c>
      <c r="D24" s="3">
        <f t="shared" si="1"/>
        <v>4.7958315233127191</v>
      </c>
      <c r="E24" s="3">
        <f t="shared" si="2"/>
        <v>11.075498483890764</v>
      </c>
      <c r="F24" s="5">
        <f t="shared" si="3"/>
        <v>0.2649797309768292</v>
      </c>
      <c r="G24" s="5">
        <f t="shared" si="4"/>
        <v>0.5299594619536584</v>
      </c>
      <c r="H24" s="5">
        <f t="shared" si="5"/>
        <v>0.79493919293048765</v>
      </c>
      <c r="I24" s="5">
        <f t="shared" si="6"/>
        <v>1.0599189239073168</v>
      </c>
      <c r="J24" s="5">
        <f t="shared" si="7"/>
        <v>1.3248986548841459</v>
      </c>
    </row>
    <row r="25" spans="2:12" x14ac:dyDescent="0.15">
      <c r="B25" s="2">
        <v>23</v>
      </c>
      <c r="C25" s="2">
        <f t="shared" si="0"/>
        <v>24</v>
      </c>
      <c r="D25" s="3">
        <f t="shared" si="1"/>
        <v>4.8989794855663558</v>
      </c>
      <c r="E25" s="3">
        <f t="shared" si="2"/>
        <v>11.313708498984759</v>
      </c>
      <c r="F25" s="5">
        <f t="shared" si="3"/>
        <v>0.25964077121693546</v>
      </c>
      <c r="G25" s="5">
        <f t="shared" si="4"/>
        <v>0.51928154243387092</v>
      </c>
      <c r="H25" s="5">
        <f t="shared" si="5"/>
        <v>0.77892231365080633</v>
      </c>
      <c r="I25" s="5">
        <f t="shared" si="6"/>
        <v>1.0385630848677418</v>
      </c>
      <c r="J25" s="5">
        <f t="shared" si="7"/>
        <v>1.2982038560846774</v>
      </c>
    </row>
    <row r="26" spans="2:12" x14ac:dyDescent="0.15">
      <c r="B26" s="2">
        <v>24</v>
      </c>
      <c r="C26" s="2">
        <f t="shared" si="0"/>
        <v>25</v>
      </c>
      <c r="D26" s="3">
        <f t="shared" si="1"/>
        <v>5</v>
      </c>
      <c r="E26" s="3">
        <f t="shared" si="2"/>
        <v>11.547005383792515</v>
      </c>
      <c r="F26" s="5">
        <f t="shared" si="3"/>
        <v>0.25461146871262502</v>
      </c>
      <c r="G26" s="5">
        <f t="shared" si="4"/>
        <v>0.50922293742525004</v>
      </c>
      <c r="H26" s="5">
        <f t="shared" si="5"/>
        <v>0.76383440613787501</v>
      </c>
      <c r="I26" s="5">
        <f t="shared" si="6"/>
        <v>1.0184458748505001</v>
      </c>
      <c r="J26" s="5">
        <f t="shared" si="7"/>
        <v>1.2730573435631252</v>
      </c>
    </row>
    <row r="27" spans="2:12" x14ac:dyDescent="0.15">
      <c r="B27" s="2">
        <v>25</v>
      </c>
      <c r="C27" s="2">
        <f t="shared" si="0"/>
        <v>26</v>
      </c>
      <c r="D27" s="3">
        <f t="shared" si="1"/>
        <v>5.0990195135927845</v>
      </c>
      <c r="E27" s="3">
        <f t="shared" si="2"/>
        <v>11.775681155103795</v>
      </c>
      <c r="F27" s="5">
        <f t="shared" si="3"/>
        <v>0.24986305705402378</v>
      </c>
      <c r="G27" s="5">
        <f t="shared" si="4"/>
        <v>0.49972611410804757</v>
      </c>
      <c r="H27" s="5">
        <f t="shared" si="5"/>
        <v>0.74958917116207135</v>
      </c>
      <c r="I27" s="5">
        <f t="shared" si="6"/>
        <v>0.99945222821609514</v>
      </c>
      <c r="J27" s="5">
        <f t="shared" si="7"/>
        <v>1.2493152852701188</v>
      </c>
    </row>
    <row r="28" spans="2:12" x14ac:dyDescent="0.15">
      <c r="B28" s="2">
        <v>26</v>
      </c>
      <c r="C28" s="2">
        <f t="shared" si="0"/>
        <v>27</v>
      </c>
      <c r="D28" s="3">
        <f t="shared" si="1"/>
        <v>5.196152422706632</v>
      </c>
      <c r="E28" s="3">
        <f t="shared" si="2"/>
        <v>12</v>
      </c>
      <c r="F28" s="5">
        <f t="shared" si="3"/>
        <v>0.24537037037037038</v>
      </c>
      <c r="G28" s="5">
        <f t="shared" si="4"/>
        <v>0.49074074074074076</v>
      </c>
      <c r="H28" s="5">
        <f t="shared" si="5"/>
        <v>0.73611111111111116</v>
      </c>
      <c r="I28" s="5">
        <f t="shared" si="6"/>
        <v>0.98148148148148151</v>
      </c>
      <c r="J28" s="5">
        <f t="shared" si="7"/>
        <v>1.2268518518518519</v>
      </c>
    </row>
    <row r="29" spans="2:12" x14ac:dyDescent="0.15">
      <c r="B29" s="2">
        <v>27</v>
      </c>
      <c r="C29" s="2">
        <f t="shared" si="0"/>
        <v>28</v>
      </c>
      <c r="D29" s="3">
        <f t="shared" si="1"/>
        <v>5.2915026221291814</v>
      </c>
      <c r="E29" s="3">
        <f t="shared" si="2"/>
        <v>12.220201853215572</v>
      </c>
      <c r="F29" s="5">
        <f t="shared" si="3"/>
        <v>0.24111128497057199</v>
      </c>
      <c r="G29" s="5">
        <f t="shared" si="4"/>
        <v>0.48222256994114399</v>
      </c>
      <c r="H29" s="5">
        <f t="shared" si="5"/>
        <v>0.72333385491171598</v>
      </c>
      <c r="I29" s="5">
        <f t="shared" si="6"/>
        <v>0.96444513988228797</v>
      </c>
      <c r="J29" s="5">
        <f t="shared" si="7"/>
        <v>1.2055564248528601</v>
      </c>
    </row>
    <row r="30" spans="2:12" x14ac:dyDescent="0.15">
      <c r="B30" s="2">
        <v>28</v>
      </c>
      <c r="C30" s="2">
        <f t="shared" si="0"/>
        <v>29</v>
      </c>
      <c r="D30" s="3">
        <f t="shared" si="1"/>
        <v>5.3851648071345037</v>
      </c>
      <c r="E30" s="3">
        <f t="shared" si="2"/>
        <v>12.436505404118419</v>
      </c>
      <c r="F30" s="5">
        <f t="shared" si="3"/>
        <v>0.23706626309128834</v>
      </c>
      <c r="G30" s="5">
        <f t="shared" si="4"/>
        <v>0.47413252618257667</v>
      </c>
      <c r="H30" s="5">
        <f t="shared" si="5"/>
        <v>0.71119878927386504</v>
      </c>
      <c r="I30" s="5">
        <f t="shared" si="6"/>
        <v>0.94826505236515335</v>
      </c>
      <c r="J30" s="5">
        <f t="shared" si="7"/>
        <v>1.1853313154564418</v>
      </c>
    </row>
    <row r="31" spans="2:12" x14ac:dyDescent="0.15">
      <c r="B31" s="2">
        <v>29</v>
      </c>
      <c r="C31" s="2">
        <f t="shared" si="0"/>
        <v>30</v>
      </c>
      <c r="D31" s="3">
        <f t="shared" si="1"/>
        <v>5.4772255750516612</v>
      </c>
      <c r="E31" s="3">
        <f t="shared" si="2"/>
        <v>12.649110640673518</v>
      </c>
      <c r="F31" s="5">
        <f t="shared" si="3"/>
        <v>0.23321797743741793</v>
      </c>
      <c r="G31" s="5">
        <f t="shared" si="4"/>
        <v>0.46643595487483586</v>
      </c>
      <c r="H31" s="5">
        <f t="shared" si="5"/>
        <v>0.69965393231225381</v>
      </c>
      <c r="I31" s="5">
        <f t="shared" si="6"/>
        <v>0.93287190974967171</v>
      </c>
      <c r="J31" s="5">
        <f t="shared" si="7"/>
        <v>1.1660898871870897</v>
      </c>
    </row>
    <row r="32" spans="2:12" x14ac:dyDescent="0.15">
      <c r="B32" s="2">
        <v>30</v>
      </c>
      <c r="C32" s="2">
        <f t="shared" si="0"/>
        <v>31</v>
      </c>
      <c r="D32" s="3">
        <f t="shared" si="1"/>
        <v>5.5677643628300215</v>
      </c>
      <c r="E32" s="3">
        <f t="shared" si="2"/>
        <v>12.85820101465727</v>
      </c>
      <c r="F32" s="5">
        <f t="shared" si="3"/>
        <v>0.22955100016411445</v>
      </c>
      <c r="G32" s="5">
        <f t="shared" si="4"/>
        <v>0.4591020003282289</v>
      </c>
      <c r="H32" s="5">
        <f t="shared" si="5"/>
        <v>0.68865300049234335</v>
      </c>
      <c r="I32" s="5">
        <f t="shared" si="6"/>
        <v>0.9182040006564578</v>
      </c>
      <c r="J32" s="5">
        <f t="shared" si="7"/>
        <v>1.1477550008205721</v>
      </c>
    </row>
    <row r="33" spans="2:10" x14ac:dyDescent="0.15">
      <c r="B33" s="2">
        <v>31</v>
      </c>
      <c r="C33" s="2">
        <f t="shared" si="0"/>
        <v>32</v>
      </c>
      <c r="D33" s="3">
        <f t="shared" si="1"/>
        <v>5.6568542494923806</v>
      </c>
      <c r="E33" s="3">
        <f t="shared" si="2"/>
        <v>13.063945294843618</v>
      </c>
      <c r="F33" s="5">
        <f t="shared" si="3"/>
        <v>0.2260515436455178</v>
      </c>
      <c r="G33" s="5">
        <f t="shared" si="4"/>
        <v>0.4521030872910356</v>
      </c>
      <c r="H33" s="5">
        <f t="shared" si="5"/>
        <v>0.67815463093655337</v>
      </c>
      <c r="I33" s="5">
        <f t="shared" si="6"/>
        <v>0.9042061745820712</v>
      </c>
      <c r="J33" s="5">
        <f t="shared" si="7"/>
        <v>1.130257718227589</v>
      </c>
    </row>
    <row r="34" spans="2:10" x14ac:dyDescent="0.15">
      <c r="B34" s="2">
        <v>32</v>
      </c>
      <c r="C34" s="2">
        <f t="shared" si="0"/>
        <v>33</v>
      </c>
      <c r="D34" s="3">
        <f t="shared" si="1"/>
        <v>5.7445626465380286</v>
      </c>
      <c r="E34" s="3">
        <f t="shared" si="2"/>
        <v>13.266499161421599</v>
      </c>
      <c r="F34" s="5">
        <f t="shared" si="3"/>
        <v>0.22270724315402993</v>
      </c>
      <c r="G34" s="5">
        <f t="shared" si="4"/>
        <v>0.44541448630805985</v>
      </c>
      <c r="H34" s="5">
        <f t="shared" si="5"/>
        <v>0.66812172946208981</v>
      </c>
      <c r="I34" s="5">
        <f t="shared" si="6"/>
        <v>0.89082897261611971</v>
      </c>
      <c r="J34" s="5">
        <f t="shared" si="7"/>
        <v>1.1135362157701496</v>
      </c>
    </row>
    <row r="35" spans="2:10" x14ac:dyDescent="0.15">
      <c r="B35" s="2">
        <v>33</v>
      </c>
      <c r="C35" s="2">
        <f t="shared" si="0"/>
        <v>34</v>
      </c>
      <c r="D35" s="3">
        <f t="shared" si="1"/>
        <v>5.8309518948453007</v>
      </c>
      <c r="E35" s="3">
        <f t="shared" si="2"/>
        <v>13.46600658448277</v>
      </c>
      <c r="F35" s="5">
        <f t="shared" si="3"/>
        <v>0.21950697368196129</v>
      </c>
      <c r="G35" s="5">
        <f t="shared" si="4"/>
        <v>0.43901394736392257</v>
      </c>
      <c r="H35" s="5">
        <f t="shared" si="5"/>
        <v>0.65852092104588389</v>
      </c>
      <c r="I35" s="5">
        <f t="shared" si="6"/>
        <v>0.87802789472784515</v>
      </c>
      <c r="J35" s="5">
        <f t="shared" si="7"/>
        <v>1.0975348684098065</v>
      </c>
    </row>
    <row r="36" spans="2:10" x14ac:dyDescent="0.15">
      <c r="B36" s="2">
        <v>34</v>
      </c>
      <c r="C36" s="2">
        <f t="shared" si="0"/>
        <v>35</v>
      </c>
      <c r="D36" s="3">
        <f t="shared" si="1"/>
        <v>5.9160797830996161</v>
      </c>
      <c r="E36" s="3">
        <f t="shared" si="2"/>
        <v>13.662601021279464</v>
      </c>
      <c r="F36" s="5">
        <f t="shared" si="3"/>
        <v>0.21644069475037112</v>
      </c>
      <c r="G36" s="5">
        <f t="shared" si="4"/>
        <v>0.43288138950074223</v>
      </c>
      <c r="H36" s="5">
        <f t="shared" si="5"/>
        <v>0.64932208425111337</v>
      </c>
      <c r="I36" s="5">
        <f t="shared" si="6"/>
        <v>0.86576277900148446</v>
      </c>
      <c r="J36" s="5">
        <f t="shared" si="7"/>
        <v>1.0822034737518555</v>
      </c>
    </row>
    <row r="37" spans="2:10" x14ac:dyDescent="0.15">
      <c r="B37" s="2">
        <v>35</v>
      </c>
      <c r="C37" s="2">
        <f t="shared" si="0"/>
        <v>36</v>
      </c>
      <c r="D37" s="3">
        <f t="shared" si="1"/>
        <v>6</v>
      </c>
      <c r="E37" s="3">
        <f t="shared" si="2"/>
        <v>13.856406460551019</v>
      </c>
      <c r="F37" s="5">
        <f t="shared" si="3"/>
        <v>0.21349931829408031</v>
      </c>
      <c r="G37" s="5">
        <f t="shared" si="4"/>
        <v>0.42699863658816062</v>
      </c>
      <c r="H37" s="5">
        <f t="shared" si="5"/>
        <v>0.64049795488224093</v>
      </c>
      <c r="I37" s="6">
        <f t="shared" si="6"/>
        <v>0.85399727317632124</v>
      </c>
      <c r="J37" s="5">
        <f t="shared" si="7"/>
        <v>1.0674965914704015</v>
      </c>
    </row>
    <row r="38" spans="2:10" x14ac:dyDescent="0.15">
      <c r="B38" s="2">
        <v>36</v>
      </c>
      <c r="C38" s="2">
        <f t="shared" si="0"/>
        <v>37</v>
      </c>
      <c r="D38" s="3">
        <f t="shared" si="1"/>
        <v>6.0827625302982193</v>
      </c>
      <c r="E38" s="3">
        <f t="shared" si="2"/>
        <v>14.047538337136984</v>
      </c>
      <c r="F38" s="5">
        <f t="shared" si="3"/>
        <v>0.21067459567884861</v>
      </c>
      <c r="G38" s="5">
        <f t="shared" si="4"/>
        <v>0.42134919135769722</v>
      </c>
      <c r="H38" s="5">
        <f t="shared" si="5"/>
        <v>0.63202378703654583</v>
      </c>
      <c r="I38" s="5">
        <f t="shared" si="6"/>
        <v>0.84269838271539443</v>
      </c>
      <c r="J38" s="5">
        <f t="shared" si="7"/>
        <v>1.0533729783942429</v>
      </c>
    </row>
    <row r="39" spans="2:10" x14ac:dyDescent="0.15">
      <c r="B39" s="2">
        <v>37</v>
      </c>
      <c r="C39" s="2">
        <f t="shared" si="0"/>
        <v>38</v>
      </c>
      <c r="D39" s="3">
        <f t="shared" si="1"/>
        <v>6.164414002968976</v>
      </c>
      <c r="E39" s="3">
        <f t="shared" si="2"/>
        <v>14.236104336041747</v>
      </c>
      <c r="F39" s="5">
        <f t="shared" si="3"/>
        <v>0.20795902066369856</v>
      </c>
      <c r="G39" s="5">
        <f t="shared" si="4"/>
        <v>0.41591804132739713</v>
      </c>
      <c r="H39" s="5">
        <f t="shared" si="5"/>
        <v>0.62387706199109572</v>
      </c>
      <c r="I39" s="5">
        <f t="shared" si="6"/>
        <v>0.83183608265479425</v>
      </c>
      <c r="J39" s="5">
        <f t="shared" si="7"/>
        <v>1.0397951033184929</v>
      </c>
    </row>
    <row r="40" spans="2:10" x14ac:dyDescent="0.15">
      <c r="B40" s="2">
        <v>38</v>
      </c>
      <c r="C40" s="2">
        <f t="shared" si="0"/>
        <v>39</v>
      </c>
      <c r="D40" s="3">
        <f t="shared" si="1"/>
        <v>6.2449979983983983</v>
      </c>
      <c r="E40" s="3">
        <f t="shared" si="2"/>
        <v>14.422205101855956</v>
      </c>
      <c r="F40" s="5">
        <f t="shared" si="3"/>
        <v>0.20534574571799349</v>
      </c>
      <c r="G40" s="5">
        <f t="shared" si="4"/>
        <v>0.41069149143598699</v>
      </c>
      <c r="H40" s="5">
        <f t="shared" si="5"/>
        <v>0.61603723715398051</v>
      </c>
      <c r="I40" s="5">
        <f t="shared" si="6"/>
        <v>0.82138298287197398</v>
      </c>
      <c r="J40" s="5">
        <f t="shared" si="7"/>
        <v>1.0267287285899676</v>
      </c>
    </row>
    <row r="41" spans="2:10" x14ac:dyDescent="0.15">
      <c r="B41" s="2">
        <v>39</v>
      </c>
      <c r="C41" s="2">
        <f t="shared" si="0"/>
        <v>40</v>
      </c>
      <c r="D41" s="3">
        <f t="shared" si="1"/>
        <v>6.324555320336759</v>
      </c>
      <c r="E41" s="3">
        <f t="shared" si="2"/>
        <v>14.60593486680443</v>
      </c>
      <c r="F41" s="5">
        <f t="shared" si="3"/>
        <v>0.2028285095761318</v>
      </c>
      <c r="G41" s="5">
        <f t="shared" si="4"/>
        <v>0.4056570191522636</v>
      </c>
      <c r="H41" s="5">
        <f t="shared" si="5"/>
        <v>0.60848552872839545</v>
      </c>
      <c r="I41" s="5">
        <f t="shared" si="6"/>
        <v>0.8113140383045272</v>
      </c>
      <c r="J41" s="5">
        <f t="shared" si="7"/>
        <v>1.0141425478806589</v>
      </c>
    </row>
    <row r="42" spans="2:10" x14ac:dyDescent="0.15">
      <c r="B42" s="2">
        <v>40</v>
      </c>
      <c r="C42" s="2">
        <f t="shared" si="0"/>
        <v>41</v>
      </c>
      <c r="D42" s="3">
        <f t="shared" si="1"/>
        <v>6.4031242374328485</v>
      </c>
      <c r="E42" s="3">
        <f t="shared" si="2"/>
        <v>14.787382008545888</v>
      </c>
      <c r="F42" s="5">
        <f t="shared" si="3"/>
        <v>0.20040157429041414</v>
      </c>
      <c r="G42" s="5">
        <f t="shared" si="4"/>
        <v>0.40080314858082827</v>
      </c>
      <c r="H42" s="5">
        <f t="shared" si="5"/>
        <v>0.60120472287124238</v>
      </c>
      <c r="I42" s="5">
        <f t="shared" si="6"/>
        <v>0.80160629716165654</v>
      </c>
      <c r="J42" s="5">
        <f t="shared" si="7"/>
        <v>1.0020078714520706</v>
      </c>
    </row>
    <row r="43" spans="2:10" x14ac:dyDescent="0.15">
      <c r="B43" s="2">
        <v>41</v>
      </c>
      <c r="C43" s="2">
        <f t="shared" si="0"/>
        <v>42</v>
      </c>
      <c r="D43" s="3">
        <f t="shared" si="1"/>
        <v>6.4807406984078604</v>
      </c>
      <c r="E43" s="3">
        <f t="shared" si="2"/>
        <v>14.966629547095765</v>
      </c>
      <c r="F43" s="5">
        <f t="shared" si="3"/>
        <v>0.19805967034581451</v>
      </c>
      <c r="G43" s="5">
        <f t="shared" si="4"/>
        <v>0.39611934069162902</v>
      </c>
      <c r="H43" s="5">
        <f t="shared" si="5"/>
        <v>0.59417901103744353</v>
      </c>
      <c r="I43" s="5">
        <f t="shared" si="6"/>
        <v>0.79223868138325804</v>
      </c>
      <c r="J43" s="5">
        <f t="shared" si="7"/>
        <v>0.99029835172907255</v>
      </c>
    </row>
    <row r="44" spans="2:10" x14ac:dyDescent="0.15">
      <c r="B44" s="2">
        <v>42</v>
      </c>
      <c r="C44" s="2">
        <f t="shared" si="0"/>
        <v>43</v>
      </c>
      <c r="D44" s="3">
        <f t="shared" si="1"/>
        <v>6.5574385243020004</v>
      </c>
      <c r="E44" s="3">
        <f t="shared" si="2"/>
        <v>15.143755588800728</v>
      </c>
      <c r="F44" s="5">
        <f t="shared" si="3"/>
        <v>0.19579794864508793</v>
      </c>
      <c r="G44" s="5">
        <f t="shared" si="4"/>
        <v>0.39159589729017585</v>
      </c>
      <c r="H44" s="5">
        <f t="shared" si="5"/>
        <v>0.58739384593526378</v>
      </c>
      <c r="I44" s="5">
        <f t="shared" si="6"/>
        <v>0.78319179458035171</v>
      </c>
      <c r="J44" s="5">
        <f t="shared" si="7"/>
        <v>0.97898974322543963</v>
      </c>
    </row>
    <row r="45" spans="2:10" x14ac:dyDescent="0.15">
      <c r="B45" s="2">
        <v>43</v>
      </c>
      <c r="C45" s="2">
        <f t="shared" si="0"/>
        <v>44</v>
      </c>
      <c r="D45" s="3">
        <f t="shared" si="1"/>
        <v>6.6332495807107996</v>
      </c>
      <c r="E45" s="3">
        <f t="shared" si="2"/>
        <v>15.31883372410141</v>
      </c>
      <c r="F45" s="5">
        <f t="shared" si="3"/>
        <v>0.19361193837118099</v>
      </c>
      <c r="G45" s="5">
        <f t="shared" si="4"/>
        <v>0.38722387674236197</v>
      </c>
      <c r="H45" s="5">
        <f t="shared" si="5"/>
        <v>0.58083581511354299</v>
      </c>
      <c r="I45" s="5">
        <f t="shared" si="6"/>
        <v>0.77444775348472394</v>
      </c>
      <c r="J45" s="5">
        <f t="shared" si="7"/>
        <v>0.9680596918559049</v>
      </c>
    </row>
    <row r="46" spans="2:10" x14ac:dyDescent="0.15">
      <c r="B46" s="2">
        <v>44</v>
      </c>
      <c r="C46" s="2">
        <f t="shared" si="0"/>
        <v>45</v>
      </c>
      <c r="D46" s="3">
        <f t="shared" si="1"/>
        <v>6.7082039324993694</v>
      </c>
      <c r="E46" s="3">
        <f t="shared" si="2"/>
        <v>15.491933384829666</v>
      </c>
      <c r="F46" s="5">
        <f t="shared" si="3"/>
        <v>0.19149750989581121</v>
      </c>
      <c r="G46" s="5">
        <f t="shared" si="4"/>
        <v>0.38299501979162243</v>
      </c>
      <c r="H46" s="5">
        <f t="shared" si="5"/>
        <v>0.5744925296874337</v>
      </c>
      <c r="I46" s="5">
        <f t="shared" si="6"/>
        <v>0.76599003958324485</v>
      </c>
      <c r="J46" s="5">
        <f t="shared" si="7"/>
        <v>0.95748754947905601</v>
      </c>
    </row>
    <row r="47" spans="2:10" x14ac:dyDescent="0.15">
      <c r="B47" s="2">
        <v>45</v>
      </c>
      <c r="C47" s="2">
        <f t="shared" si="0"/>
        <v>46</v>
      </c>
      <c r="D47" s="3">
        <f t="shared" si="1"/>
        <v>6.7823299831252681</v>
      </c>
      <c r="E47" s="3">
        <f t="shared" si="2"/>
        <v>15.663120165960974</v>
      </c>
      <c r="F47" s="5">
        <f t="shared" si="3"/>
        <v>0.18945084203571061</v>
      </c>
      <c r="G47" s="5">
        <f t="shared" si="4"/>
        <v>0.37890168407142122</v>
      </c>
      <c r="H47" s="5">
        <f t="shared" si="5"/>
        <v>0.56835252610713183</v>
      </c>
      <c r="I47" s="5">
        <f t="shared" si="6"/>
        <v>0.75780336814284244</v>
      </c>
      <c r="J47" s="5">
        <f t="shared" si="7"/>
        <v>0.94725421017855305</v>
      </c>
    </row>
    <row r="48" spans="2:10" x14ac:dyDescent="0.15">
      <c r="B48" s="2">
        <v>46</v>
      </c>
      <c r="C48" s="2">
        <f t="shared" si="0"/>
        <v>47</v>
      </c>
      <c r="D48" s="3">
        <f t="shared" si="1"/>
        <v>6.8556546004010439</v>
      </c>
      <c r="E48" s="3">
        <f t="shared" si="2"/>
        <v>15.832456116050556</v>
      </c>
      <c r="F48" s="5">
        <f t="shared" si="3"/>
        <v>0.18746839306720117</v>
      </c>
      <c r="G48" s="5">
        <f t="shared" si="4"/>
        <v>0.37493678613440234</v>
      </c>
      <c r="H48" s="5">
        <f t="shared" si="5"/>
        <v>0.56240517920160349</v>
      </c>
      <c r="I48" s="5">
        <f t="shared" si="6"/>
        <v>0.74987357226880469</v>
      </c>
      <c r="J48" s="5">
        <f t="shared" si="7"/>
        <v>0.93734196533600589</v>
      </c>
    </row>
    <row r="49" spans="2:10" x14ac:dyDescent="0.15">
      <c r="B49" s="2">
        <v>47</v>
      </c>
      <c r="C49" s="2">
        <f t="shared" si="0"/>
        <v>48</v>
      </c>
      <c r="D49" s="3">
        <f t="shared" si="1"/>
        <v>6.9282032302755088</v>
      </c>
      <c r="E49" s="3">
        <f t="shared" si="2"/>
        <v>15.999999999999998</v>
      </c>
      <c r="F49" s="5">
        <f t="shared" si="3"/>
        <v>0.18554687500000006</v>
      </c>
      <c r="G49" s="5">
        <f t="shared" si="4"/>
        <v>0.37109375000000011</v>
      </c>
      <c r="H49" s="5">
        <f t="shared" si="5"/>
        <v>0.55664062500000022</v>
      </c>
      <c r="I49" s="5">
        <f t="shared" si="6"/>
        <v>0.74218750000000022</v>
      </c>
      <c r="J49" s="5">
        <f t="shared" si="7"/>
        <v>0.92773437500000022</v>
      </c>
    </row>
    <row r="50" spans="2:10" x14ac:dyDescent="0.15">
      <c r="B50" s="2">
        <v>48</v>
      </c>
      <c r="C50" s="2">
        <f t="shared" si="0"/>
        <v>49</v>
      </c>
      <c r="D50" s="3">
        <f t="shared" si="1"/>
        <v>7</v>
      </c>
      <c r="E50" s="3">
        <f t="shared" si="2"/>
        <v>16.165807537309522</v>
      </c>
      <c r="F50" s="5">
        <f t="shared" si="3"/>
        <v>0.18368323068605802</v>
      </c>
      <c r="G50" s="5">
        <f t="shared" si="4"/>
        <v>0.36736646137211604</v>
      </c>
      <c r="H50" s="5">
        <f t="shared" si="5"/>
        <v>0.551049692058174</v>
      </c>
      <c r="I50" s="5">
        <f t="shared" si="6"/>
        <v>0.73473292274423208</v>
      </c>
      <c r="J50" s="5">
        <f t="shared" si="7"/>
        <v>0.91841615343029015</v>
      </c>
    </row>
    <row r="51" spans="2:10" x14ac:dyDescent="0.15">
      <c r="B51" s="2">
        <v>49</v>
      </c>
      <c r="C51" s="2">
        <f t="shared" si="0"/>
        <v>50</v>
      </c>
      <c r="D51" s="3">
        <f t="shared" si="1"/>
        <v>7.0710678118654755</v>
      </c>
      <c r="E51" s="3">
        <f t="shared" si="2"/>
        <v>16.329931618554522</v>
      </c>
      <c r="F51" s="5">
        <f t="shared" si="3"/>
        <v>0.18187461340165093</v>
      </c>
      <c r="G51" s="5">
        <f t="shared" si="4"/>
        <v>0.36374922680330185</v>
      </c>
      <c r="H51" s="5">
        <f t="shared" si="5"/>
        <v>0.5456238402049528</v>
      </c>
      <c r="I51" s="5">
        <f t="shared" si="6"/>
        <v>0.7274984536066037</v>
      </c>
      <c r="J51" s="5">
        <f t="shared" si="7"/>
        <v>0.9093730670082546</v>
      </c>
    </row>
    <row r="52" spans="2:10" x14ac:dyDescent="0.15">
      <c r="B52" s="2">
        <v>50</v>
      </c>
      <c r="C52" s="2">
        <f t="shared" si="0"/>
        <v>51</v>
      </c>
      <c r="D52" s="3">
        <f t="shared" si="1"/>
        <v>7.1414284285428504</v>
      </c>
      <c r="E52" s="3">
        <f t="shared" si="2"/>
        <v>16.492422502470642</v>
      </c>
      <c r="F52" s="5">
        <f t="shared" si="3"/>
        <v>0.18011836859315905</v>
      </c>
      <c r="G52" s="5">
        <f t="shared" si="4"/>
        <v>0.3602367371863181</v>
      </c>
      <c r="H52" s="5">
        <f t="shared" si="5"/>
        <v>0.5403551057794771</v>
      </c>
      <c r="I52" s="5">
        <f t="shared" si="6"/>
        <v>0.7204734743726362</v>
      </c>
      <c r="J52" s="5">
        <f t="shared" si="7"/>
        <v>0.90059184296579531</v>
      </c>
    </row>
    <row r="53" spans="2:10" x14ac:dyDescent="0.15">
      <c r="B53" s="2">
        <v>51</v>
      </c>
      <c r="C53" s="2">
        <f t="shared" si="0"/>
        <v>52</v>
      </c>
      <c r="D53" s="3">
        <f t="shared" si="1"/>
        <v>7.2111025509279782</v>
      </c>
      <c r="E53" s="3">
        <f t="shared" si="2"/>
        <v>16.653327995729061</v>
      </c>
      <c r="F53" s="5">
        <f t="shared" si="3"/>
        <v>0.17841201752081223</v>
      </c>
      <c r="G53" s="5">
        <f t="shared" si="4"/>
        <v>0.35682403504162447</v>
      </c>
      <c r="H53" s="5">
        <f t="shared" si="5"/>
        <v>0.53523605256243667</v>
      </c>
      <c r="I53" s="5">
        <f t="shared" si="6"/>
        <v>0.71364807008324893</v>
      </c>
      <c r="J53" s="5">
        <f t="shared" si="7"/>
        <v>0.89206008760406119</v>
      </c>
    </row>
    <row r="54" spans="2:10" x14ac:dyDescent="0.15">
      <c r="B54" s="2">
        <v>52</v>
      </c>
      <c r="C54" s="2">
        <f t="shared" si="0"/>
        <v>53</v>
      </c>
      <c r="D54" s="3">
        <f t="shared" si="1"/>
        <v>7.2801098892805181</v>
      </c>
      <c r="E54" s="3">
        <f t="shared" si="2"/>
        <v>16.812693617224653</v>
      </c>
      <c r="F54" s="5">
        <f t="shared" si="3"/>
        <v>0.17675324257161476</v>
      </c>
      <c r="G54" s="5">
        <f t="shared" si="4"/>
        <v>0.35350648514322952</v>
      </c>
      <c r="H54" s="5">
        <f t="shared" si="5"/>
        <v>0.53025972771484431</v>
      </c>
      <c r="I54" s="5">
        <f t="shared" si="6"/>
        <v>0.70701297028645904</v>
      </c>
      <c r="J54" s="5">
        <f t="shared" si="7"/>
        <v>0.88376621285807377</v>
      </c>
    </row>
    <row r="55" spans="2:10" x14ac:dyDescent="0.15">
      <c r="B55" s="2">
        <v>53</v>
      </c>
      <c r="C55" s="2">
        <f t="shared" si="0"/>
        <v>54</v>
      </c>
      <c r="D55" s="3">
        <f t="shared" si="1"/>
        <v>7.3484692283495345</v>
      </c>
      <c r="E55" s="3">
        <f t="shared" si="2"/>
        <v>16.970562748477139</v>
      </c>
      <c r="F55" s="5">
        <f t="shared" si="3"/>
        <v>0.17513987404389031</v>
      </c>
      <c r="G55" s="5">
        <f t="shared" si="4"/>
        <v>0.35027974808778062</v>
      </c>
      <c r="H55" s="5">
        <f t="shared" si="5"/>
        <v>0.52541962213167093</v>
      </c>
      <c r="I55" s="5">
        <f t="shared" si="6"/>
        <v>0.70055949617556124</v>
      </c>
      <c r="J55" s="5">
        <f t="shared" si="7"/>
        <v>0.87569937021945154</v>
      </c>
    </row>
    <row r="56" spans="2:10" x14ac:dyDescent="0.15">
      <c r="B56" s="2">
        <v>54</v>
      </c>
      <c r="C56" s="2">
        <f t="shared" si="0"/>
        <v>55</v>
      </c>
      <c r="D56" s="3">
        <f t="shared" si="1"/>
        <v>7.416198487095663</v>
      </c>
      <c r="E56" s="3">
        <f t="shared" si="2"/>
        <v>17.126976771553505</v>
      </c>
      <c r="F56" s="5">
        <f t="shared" si="3"/>
        <v>0.17356987823237593</v>
      </c>
      <c r="G56" s="5">
        <f t="shared" si="4"/>
        <v>0.34713975646475187</v>
      </c>
      <c r="H56" s="5">
        <f t="shared" si="5"/>
        <v>0.52070963469712783</v>
      </c>
      <c r="I56" s="5">
        <f t="shared" si="6"/>
        <v>0.69427951292950374</v>
      </c>
      <c r="J56" s="5">
        <f t="shared" si="7"/>
        <v>0.86784939116187965</v>
      </c>
    </row>
    <row r="57" spans="2:10" x14ac:dyDescent="0.15">
      <c r="B57" s="2">
        <v>55</v>
      </c>
      <c r="C57" s="2">
        <f t="shared" si="0"/>
        <v>56</v>
      </c>
      <c r="D57" s="3">
        <f t="shared" si="1"/>
        <v>7.4833147735478827</v>
      </c>
      <c r="E57" s="3">
        <f t="shared" si="2"/>
        <v>17.281975195754292</v>
      </c>
      <c r="F57" s="5">
        <f t="shared" si="3"/>
        <v>0.17204134666532353</v>
      </c>
      <c r="G57" s="5">
        <f t="shared" si="4"/>
        <v>0.34408269333064706</v>
      </c>
      <c r="H57" s="5">
        <f t="shared" si="5"/>
        <v>0.51612403999597056</v>
      </c>
      <c r="I57" s="5">
        <f t="shared" si="6"/>
        <v>0.68816538666129412</v>
      </c>
      <c r="J57" s="5">
        <f t="shared" si="7"/>
        <v>0.86020673332661768</v>
      </c>
    </row>
    <row r="58" spans="2:10" x14ac:dyDescent="0.15">
      <c r="B58" s="2">
        <v>56</v>
      </c>
      <c r="C58" s="2">
        <f t="shared" si="0"/>
        <v>57</v>
      </c>
      <c r="D58" s="3">
        <f t="shared" si="1"/>
        <v>7.5498344352707498</v>
      </c>
      <c r="E58" s="3">
        <f t="shared" si="2"/>
        <v>17.435595774162692</v>
      </c>
      <c r="F58" s="5">
        <f t="shared" si="3"/>
        <v>0.17055248636429926</v>
      </c>
      <c r="G58" s="5">
        <f t="shared" si="4"/>
        <v>0.34110497272859852</v>
      </c>
      <c r="H58" s="5">
        <f t="shared" si="5"/>
        <v>0.51165745909289773</v>
      </c>
      <c r="I58" s="5">
        <f t="shared" si="6"/>
        <v>0.68220994545719704</v>
      </c>
      <c r="J58" s="6">
        <f t="shared" si="7"/>
        <v>0.85276243182149636</v>
      </c>
    </row>
    <row r="59" spans="2:10" x14ac:dyDescent="0.15">
      <c r="B59" s="2">
        <v>57</v>
      </c>
      <c r="C59" s="2">
        <f t="shared" si="0"/>
        <v>58</v>
      </c>
      <c r="D59" s="3">
        <f t="shared" si="1"/>
        <v>7.6157731058639087</v>
      </c>
      <c r="E59" s="3">
        <f t="shared" si="2"/>
        <v>17.587874611030561</v>
      </c>
      <c r="F59" s="5">
        <f t="shared" si="3"/>
        <v>0.16910161101382865</v>
      </c>
      <c r="G59" s="5">
        <f t="shared" si="4"/>
        <v>0.33820322202765729</v>
      </c>
      <c r="H59" s="5">
        <f t="shared" si="5"/>
        <v>0.50730483304148599</v>
      </c>
      <c r="I59" s="5">
        <f t="shared" si="6"/>
        <v>0.67640644405531458</v>
      </c>
      <c r="J59" s="5">
        <f t="shared" si="7"/>
        <v>0.84550805506914317</v>
      </c>
    </row>
    <row r="60" spans="2:10" x14ac:dyDescent="0.15">
      <c r="B60" s="2">
        <v>58</v>
      </c>
      <c r="C60" s="2">
        <f t="shared" si="0"/>
        <v>59</v>
      </c>
      <c r="D60" s="3">
        <f t="shared" si="1"/>
        <v>7.6811457478686078</v>
      </c>
      <c r="E60" s="3">
        <f t="shared" si="2"/>
        <v>17.738846260866758</v>
      </c>
      <c r="F60" s="5">
        <f t="shared" si="3"/>
        <v>0.16768713294215662</v>
      </c>
      <c r="G60" s="5">
        <f t="shared" si="4"/>
        <v>0.33537426588431324</v>
      </c>
      <c r="H60" s="5">
        <f t="shared" si="5"/>
        <v>0.50306139882646983</v>
      </c>
      <c r="I60" s="5">
        <f t="shared" si="6"/>
        <v>0.67074853176862648</v>
      </c>
      <c r="J60" s="5">
        <f t="shared" si="7"/>
        <v>0.83843566471078312</v>
      </c>
    </row>
    <row r="61" spans="2:10" x14ac:dyDescent="0.15">
      <c r="B61" s="2">
        <v>59</v>
      </c>
      <c r="C61" s="2">
        <f t="shared" si="0"/>
        <v>60</v>
      </c>
      <c r="D61" s="3">
        <f t="shared" si="1"/>
        <v>7.745966692414834</v>
      </c>
      <c r="E61" s="3">
        <f t="shared" si="2"/>
        <v>17.888543819998315</v>
      </c>
      <c r="F61" s="5">
        <f t="shared" si="3"/>
        <v>0.16630755582654694</v>
      </c>
      <c r="G61" s="5">
        <f t="shared" si="4"/>
        <v>0.33261511165309388</v>
      </c>
      <c r="H61" s="5">
        <f t="shared" si="5"/>
        <v>0.49892266747964081</v>
      </c>
      <c r="I61" s="5">
        <f t="shared" si="6"/>
        <v>0.66523022330618775</v>
      </c>
      <c r="J61" s="5">
        <f t="shared" si="7"/>
        <v>0.83153777913273474</v>
      </c>
    </row>
    <row r="62" spans="2:10" x14ac:dyDescent="0.15">
      <c r="B62" s="2">
        <v>60</v>
      </c>
      <c r="C62" s="2">
        <f t="shared" si="0"/>
        <v>61</v>
      </c>
      <c r="D62" s="3">
        <f t="shared" si="1"/>
        <v>7.810249675906654</v>
      </c>
      <c r="E62" s="3">
        <f t="shared" si="2"/>
        <v>18.036999011291574</v>
      </c>
      <c r="F62" s="5">
        <f t="shared" si="3"/>
        <v>0.1649614680470349</v>
      </c>
      <c r="G62" s="5">
        <f t="shared" si="4"/>
        <v>0.32992293609406981</v>
      </c>
      <c r="H62" s="5">
        <f t="shared" si="5"/>
        <v>0.49488440414110468</v>
      </c>
      <c r="I62" s="5">
        <f t="shared" si="6"/>
        <v>0.65984587218813961</v>
      </c>
      <c r="J62" s="5">
        <f t="shared" si="7"/>
        <v>0.82480734023517455</v>
      </c>
    </row>
    <row r="63" spans="2:10" x14ac:dyDescent="0.15">
      <c r="B63" s="2">
        <v>61</v>
      </c>
      <c r="C63" s="2">
        <f t="shared" si="0"/>
        <v>62</v>
      </c>
      <c r="D63" s="3">
        <f t="shared" si="1"/>
        <v>7.8740078740118111</v>
      </c>
      <c r="E63" s="3">
        <f t="shared" si="2"/>
        <v>18.184242262647807</v>
      </c>
      <c r="F63" s="5">
        <f t="shared" si="3"/>
        <v>0.16364753662161102</v>
      </c>
      <c r="G63" s="5">
        <f t="shared" si="4"/>
        <v>0.32729507324322205</v>
      </c>
      <c r="H63" s="5">
        <f t="shared" si="5"/>
        <v>0.49094260986483307</v>
      </c>
      <c r="I63" s="5">
        <f t="shared" si="6"/>
        <v>0.65459014648644409</v>
      </c>
      <c r="J63" s="5">
        <f t="shared" si="7"/>
        <v>0.81823768310805511</v>
      </c>
    </row>
    <row r="64" spans="2:10" x14ac:dyDescent="0.15">
      <c r="B64" s="2">
        <v>62</v>
      </c>
      <c r="C64" s="2">
        <f t="shared" si="0"/>
        <v>63</v>
      </c>
      <c r="D64" s="3">
        <f t="shared" si="1"/>
        <v>7.9372539331937721</v>
      </c>
      <c r="E64" s="3">
        <f t="shared" si="2"/>
        <v>18.330302779823359</v>
      </c>
      <c r="F64" s="5">
        <f t="shared" si="3"/>
        <v>0.1623645016636848</v>
      </c>
      <c r="G64" s="5">
        <f t="shared" si="4"/>
        <v>0.32472900332736959</v>
      </c>
      <c r="H64" s="5">
        <f t="shared" si="5"/>
        <v>0.48709350499105442</v>
      </c>
      <c r="I64" s="5">
        <f t="shared" si="6"/>
        <v>0.64945800665473918</v>
      </c>
      <c r="J64" s="5">
        <f t="shared" si="7"/>
        <v>0.81182250831842395</v>
      </c>
    </row>
    <row r="65" spans="2:10" x14ac:dyDescent="0.15">
      <c r="B65" s="2">
        <v>63</v>
      </c>
      <c r="C65" s="2">
        <f t="shared" si="0"/>
        <v>64</v>
      </c>
      <c r="D65" s="3">
        <f t="shared" si="1"/>
        <v>8</v>
      </c>
      <c r="E65" s="3">
        <f t="shared" si="2"/>
        <v>18.475208614068023</v>
      </c>
      <c r="F65" s="5">
        <f t="shared" si="3"/>
        <v>0.16111117130950739</v>
      </c>
      <c r="G65" s="5">
        <f t="shared" si="4"/>
        <v>0.32222234261901478</v>
      </c>
      <c r="H65" s="5">
        <f t="shared" si="5"/>
        <v>0.4833335139285222</v>
      </c>
      <c r="I65" s="5">
        <f t="shared" si="6"/>
        <v>0.64444468523802956</v>
      </c>
      <c r="J65" s="5">
        <f t="shared" si="7"/>
        <v>0.80555585654753692</v>
      </c>
    </row>
    <row r="66" spans="2:10" x14ac:dyDescent="0.15">
      <c r="B66" s="2">
        <v>64</v>
      </c>
      <c r="C66" s="2">
        <f t="shared" si="0"/>
        <v>65</v>
      </c>
      <c r="D66" s="3">
        <f t="shared" si="1"/>
        <v>8.0622577482985491</v>
      </c>
      <c r="E66" s="3">
        <f t="shared" si="2"/>
        <v>18.618986725025252</v>
      </c>
      <c r="F66" s="5">
        <f t="shared" si="3"/>
        <v>0.15988641706918882</v>
      </c>
      <c r="G66" s="5">
        <f t="shared" si="4"/>
        <v>0.31977283413837765</v>
      </c>
      <c r="H66" s="5">
        <f t="shared" si="5"/>
        <v>0.47965925120756647</v>
      </c>
      <c r="I66" s="5">
        <f t="shared" si="6"/>
        <v>0.6395456682767553</v>
      </c>
      <c r="J66" s="5">
        <f t="shared" si="7"/>
        <v>0.79943208534594412</v>
      </c>
    </row>
    <row r="67" spans="2:10" x14ac:dyDescent="0.15">
      <c r="B67" s="2">
        <v>65</v>
      </c>
      <c r="C67" s="2">
        <f t="shared" si="0"/>
        <v>66</v>
      </c>
      <c r="D67" s="3">
        <f t="shared" si="1"/>
        <v>8.1240384046359608</v>
      </c>
      <c r="E67" s="3">
        <f t="shared" si="2"/>
        <v>18.761663039293719</v>
      </c>
      <c r="F67" s="5">
        <f t="shared" si="3"/>
        <v>0.15868916956014184</v>
      </c>
      <c r="G67" s="5">
        <f t="shared" si="4"/>
        <v>0.31737833912028368</v>
      </c>
      <c r="H67" s="5">
        <f t="shared" si="5"/>
        <v>0.47606750868042552</v>
      </c>
      <c r="I67" s="5">
        <f t="shared" si="6"/>
        <v>0.63475667824056736</v>
      </c>
      <c r="J67" s="5">
        <f t="shared" si="7"/>
        <v>0.79344584780070915</v>
      </c>
    </row>
    <row r="68" spans="2:10" x14ac:dyDescent="0.15">
      <c r="B68" s="2">
        <v>66</v>
      </c>
      <c r="C68" s="2">
        <f t="shared" ref="C68:C102" si="8">B68+1</f>
        <v>67</v>
      </c>
      <c r="D68" s="3">
        <f t="shared" ref="D68:D102" si="9">C68^0.5</f>
        <v>8.1853527718724504</v>
      </c>
      <c r="E68" s="3">
        <f t="shared" ref="E68:E102" si="10">4*3^0.5*D68/3</f>
        <v>18.903262505010435</v>
      </c>
      <c r="F68" s="5">
        <f t="shared" ref="F68:F102" si="11">(8+16*B68)/E68^3</f>
        <v>0.15751841458633245</v>
      </c>
      <c r="G68" s="5">
        <f t="shared" ref="G68:G102" si="12">F68*2</f>
        <v>0.3150368291726649</v>
      </c>
      <c r="H68" s="5">
        <f t="shared" ref="H68:H102" si="13">F68*3</f>
        <v>0.47255524375899738</v>
      </c>
      <c r="I68" s="5">
        <f t="shared" ref="I68:I102" si="14">F68*4</f>
        <v>0.6300736583453298</v>
      </c>
      <c r="J68" s="5">
        <f t="shared" ref="J68:J102" si="15">F68*5</f>
        <v>0.78759207293166222</v>
      </c>
    </row>
    <row r="69" spans="2:10" x14ac:dyDescent="0.15">
      <c r="B69" s="2">
        <v>67</v>
      </c>
      <c r="C69" s="2">
        <f t="shared" si="8"/>
        <v>68</v>
      </c>
      <c r="D69" s="3">
        <f t="shared" si="9"/>
        <v>8.2462112512353212</v>
      </c>
      <c r="E69" s="3">
        <f t="shared" si="10"/>
        <v>19.043809142780933</v>
      </c>
      <c r="F69" s="5">
        <f t="shared" si="11"/>
        <v>0.15637318953070145</v>
      </c>
      <c r="G69" s="5">
        <f t="shared" si="12"/>
        <v>0.3127463790614029</v>
      </c>
      <c r="H69" s="5">
        <f t="shared" si="13"/>
        <v>0.46911956859210435</v>
      </c>
      <c r="I69" s="5">
        <f t="shared" si="14"/>
        <v>0.6254927581228058</v>
      </c>
      <c r="J69" s="5">
        <f t="shared" si="15"/>
        <v>0.78186594765350725</v>
      </c>
    </row>
    <row r="70" spans="2:10" x14ac:dyDescent="0.15">
      <c r="B70" s="2">
        <v>68</v>
      </c>
      <c r="C70" s="2">
        <f t="shared" si="8"/>
        <v>69</v>
      </c>
      <c r="D70" s="3">
        <f t="shared" si="9"/>
        <v>8.3066238629180749</v>
      </c>
      <c r="E70" s="3">
        <f t="shared" si="10"/>
        <v>19.183326093250876</v>
      </c>
      <c r="F70" s="5">
        <f t="shared" si="11"/>
        <v>0.15525258003162637</v>
      </c>
      <c r="G70" s="5">
        <f t="shared" si="12"/>
        <v>0.31050516006325274</v>
      </c>
      <c r="H70" s="5">
        <f t="shared" si="13"/>
        <v>0.46575774009487914</v>
      </c>
      <c r="I70" s="5">
        <f t="shared" si="14"/>
        <v>0.62101032012650548</v>
      </c>
      <c r="J70" s="5">
        <f t="shared" si="15"/>
        <v>0.77626290015813182</v>
      </c>
    </row>
    <row r="71" spans="2:10" x14ac:dyDescent="0.15">
      <c r="B71" s="2">
        <v>69</v>
      </c>
      <c r="C71" s="2">
        <f t="shared" si="8"/>
        <v>70</v>
      </c>
      <c r="D71" s="3">
        <f t="shared" si="9"/>
        <v>8.3666002653407556</v>
      </c>
      <c r="E71" s="3">
        <f t="shared" si="10"/>
        <v>19.321835661585919</v>
      </c>
      <c r="F71" s="5">
        <f t="shared" si="11"/>
        <v>0.15415571691737232</v>
      </c>
      <c r="G71" s="5">
        <f t="shared" si="12"/>
        <v>0.30831143383474463</v>
      </c>
      <c r="H71" s="5">
        <f t="shared" si="13"/>
        <v>0.46246715075211697</v>
      </c>
      <c r="I71" s="5">
        <f t="shared" si="14"/>
        <v>0.61662286766948926</v>
      </c>
      <c r="J71" s="5">
        <f t="shared" si="15"/>
        <v>0.77077858458686155</v>
      </c>
    </row>
    <row r="72" spans="2:10" x14ac:dyDescent="0.15">
      <c r="B72" s="2">
        <v>70</v>
      </c>
      <c r="C72" s="2">
        <f t="shared" si="8"/>
        <v>71</v>
      </c>
      <c r="D72" s="3">
        <f t="shared" si="9"/>
        <v>8.426149773176359</v>
      </c>
      <c r="E72" s="3">
        <f t="shared" si="10"/>
        <v>19.459359359101899</v>
      </c>
      <c r="F72" s="5">
        <f t="shared" si="11"/>
        <v>0.15308177337520029</v>
      </c>
      <c r="G72" s="5">
        <f t="shared" si="12"/>
        <v>0.30616354675040058</v>
      </c>
      <c r="H72" s="5">
        <f t="shared" si="13"/>
        <v>0.45924532012560088</v>
      </c>
      <c r="I72" s="5">
        <f t="shared" si="14"/>
        <v>0.61232709350080117</v>
      </c>
      <c r="J72" s="5">
        <f t="shared" si="15"/>
        <v>0.76540886687600151</v>
      </c>
    </row>
    <row r="73" spans="2:10" x14ac:dyDescent="0.15">
      <c r="B73" s="2">
        <v>71</v>
      </c>
      <c r="C73" s="2">
        <f t="shared" si="8"/>
        <v>72</v>
      </c>
      <c r="D73" s="3">
        <f t="shared" si="9"/>
        <v>8.4852813742385695</v>
      </c>
      <c r="E73" s="3">
        <f t="shared" si="10"/>
        <v>19.595917942265423</v>
      </c>
      <c r="F73" s="5">
        <f t="shared" si="11"/>
        <v>0.15202996233419902</v>
      </c>
      <c r="G73" s="5">
        <f t="shared" si="12"/>
        <v>0.30405992466839804</v>
      </c>
      <c r="H73" s="5">
        <f t="shared" si="13"/>
        <v>0.45608988700259706</v>
      </c>
      <c r="I73" s="5">
        <f t="shared" si="14"/>
        <v>0.60811984933679608</v>
      </c>
      <c r="J73" s="5">
        <f t="shared" si="15"/>
        <v>0.76014981167099505</v>
      </c>
    </row>
    <row r="74" spans="2:10" x14ac:dyDescent="0.15">
      <c r="B74" s="2">
        <v>72</v>
      </c>
      <c r="C74" s="2">
        <f t="shared" si="8"/>
        <v>73</v>
      </c>
      <c r="D74" s="3">
        <f t="shared" si="9"/>
        <v>8.5440037453175304</v>
      </c>
      <c r="E74" s="3">
        <f t="shared" si="10"/>
        <v>19.731531449264988</v>
      </c>
      <c r="F74" s="5">
        <f t="shared" si="11"/>
        <v>0.15099953404303582</v>
      </c>
      <c r="G74" s="5">
        <f t="shared" si="12"/>
        <v>0.30199906808607163</v>
      </c>
      <c r="H74" s="5">
        <f t="shared" si="13"/>
        <v>0.45299860212910747</v>
      </c>
      <c r="I74" s="5">
        <f t="shared" si="14"/>
        <v>0.60399813617214326</v>
      </c>
      <c r="J74" s="5">
        <f t="shared" si="15"/>
        <v>0.75499767021517905</v>
      </c>
    </row>
    <row r="75" spans="2:10" x14ac:dyDescent="0.15">
      <c r="B75" s="2">
        <v>73</v>
      </c>
      <c r="C75" s="2">
        <f t="shared" si="8"/>
        <v>74</v>
      </c>
      <c r="D75" s="3">
        <f t="shared" si="9"/>
        <v>8.6023252670426267</v>
      </c>
      <c r="E75" s="3">
        <f t="shared" si="10"/>
        <v>19.866219234335119</v>
      </c>
      <c r="F75" s="5">
        <f t="shared" si="11"/>
        <v>0.14998977382570172</v>
      </c>
      <c r="G75" s="5">
        <f t="shared" si="12"/>
        <v>0.29997954765140344</v>
      </c>
      <c r="H75" s="5">
        <f t="shared" si="13"/>
        <v>0.44996932147710517</v>
      </c>
      <c r="I75" s="5">
        <f t="shared" si="14"/>
        <v>0.59995909530280689</v>
      </c>
      <c r="J75" s="5">
        <f t="shared" si="15"/>
        <v>0.74994886912850856</v>
      </c>
    </row>
    <row r="76" spans="2:10" x14ac:dyDescent="0.15">
      <c r="B76" s="2">
        <v>74</v>
      </c>
      <c r="C76" s="2">
        <f t="shared" si="8"/>
        <v>75</v>
      </c>
      <c r="D76" s="3">
        <f t="shared" si="9"/>
        <v>8.6602540378443873</v>
      </c>
      <c r="E76" s="3">
        <f t="shared" si="10"/>
        <v>20</v>
      </c>
      <c r="F76" s="5">
        <f t="shared" si="11"/>
        <v>0.14899999999999999</v>
      </c>
      <c r="G76" s="5">
        <f t="shared" si="12"/>
        <v>0.29799999999999999</v>
      </c>
      <c r="H76" s="5">
        <f t="shared" si="13"/>
        <v>0.44699999999999995</v>
      </c>
      <c r="I76" s="5">
        <f t="shared" si="14"/>
        <v>0.59599999999999997</v>
      </c>
      <c r="J76" s="5">
        <f t="shared" si="15"/>
        <v>0.745</v>
      </c>
    </row>
    <row r="77" spans="2:10" x14ac:dyDescent="0.15">
      <c r="B77" s="2">
        <v>75</v>
      </c>
      <c r="C77" s="2">
        <f t="shared" si="8"/>
        <v>76</v>
      </c>
      <c r="D77" s="3">
        <f t="shared" si="9"/>
        <v>8.717797887081348</v>
      </c>
      <c r="E77" s="3">
        <f t="shared" si="10"/>
        <v>20.132891827388665</v>
      </c>
      <c r="F77" s="5">
        <f t="shared" si="11"/>
        <v>0.14802956194501601</v>
      </c>
      <c r="G77" s="5">
        <f t="shared" si="12"/>
        <v>0.29605912389003203</v>
      </c>
      <c r="H77" s="5">
        <f t="shared" si="13"/>
        <v>0.44408868583504801</v>
      </c>
      <c r="I77" s="5">
        <f t="shared" si="14"/>
        <v>0.59211824778006406</v>
      </c>
      <c r="J77" s="5">
        <f t="shared" si="15"/>
        <v>0.7401478097250801</v>
      </c>
    </row>
    <row r="78" spans="2:10" x14ac:dyDescent="0.15">
      <c r="B78" s="2">
        <v>76</v>
      </c>
      <c r="C78" s="2">
        <f t="shared" si="8"/>
        <v>77</v>
      </c>
      <c r="D78" s="3">
        <f t="shared" si="9"/>
        <v>8.7749643873921226</v>
      </c>
      <c r="E78" s="3">
        <f t="shared" si="10"/>
        <v>20.264912204760886</v>
      </c>
      <c r="F78" s="5">
        <f t="shared" si="11"/>
        <v>0.14707783830513016</v>
      </c>
      <c r="G78" s="5">
        <f t="shared" si="12"/>
        <v>0.29415567661026032</v>
      </c>
      <c r="H78" s="5">
        <f t="shared" si="13"/>
        <v>0.44123351491539048</v>
      </c>
      <c r="I78" s="5">
        <f t="shared" si="14"/>
        <v>0.58831135322052064</v>
      </c>
      <c r="J78" s="5">
        <f t="shared" si="15"/>
        <v>0.73538919152565074</v>
      </c>
    </row>
    <row r="79" spans="2:10" x14ac:dyDescent="0.15">
      <c r="B79" s="2">
        <v>77</v>
      </c>
      <c r="C79" s="2">
        <f t="shared" si="8"/>
        <v>78</v>
      </c>
      <c r="D79" s="3">
        <f t="shared" si="9"/>
        <v>8.8317608663278477</v>
      </c>
      <c r="E79" s="3">
        <f t="shared" si="10"/>
        <v>20.396078054371142</v>
      </c>
      <c r="F79" s="5">
        <f t="shared" si="11"/>
        <v>0.14614423531931978</v>
      </c>
      <c r="G79" s="5">
        <f t="shared" si="12"/>
        <v>0.29228847063863955</v>
      </c>
      <c r="H79" s="5">
        <f t="shared" si="13"/>
        <v>0.43843270595795936</v>
      </c>
      <c r="I79" s="5">
        <f t="shared" si="14"/>
        <v>0.58457694127727911</v>
      </c>
      <c r="J79" s="5">
        <f t="shared" si="15"/>
        <v>0.73072117659659885</v>
      </c>
    </row>
    <row r="80" spans="2:10" x14ac:dyDescent="0.15">
      <c r="B80" s="2">
        <v>78</v>
      </c>
      <c r="C80" s="2">
        <f t="shared" si="8"/>
        <v>79</v>
      </c>
      <c r="D80" s="3">
        <f t="shared" si="9"/>
        <v>8.8881944173155887</v>
      </c>
      <c r="E80" s="3">
        <f t="shared" si="10"/>
        <v>20.526405757787533</v>
      </c>
      <c r="F80" s="5">
        <f t="shared" si="11"/>
        <v>0.14522818526555142</v>
      </c>
      <c r="G80" s="5">
        <f t="shared" si="12"/>
        <v>0.29045637053110285</v>
      </c>
      <c r="H80" s="5">
        <f t="shared" si="13"/>
        <v>0.43568455579665427</v>
      </c>
      <c r="I80" s="5">
        <f t="shared" si="14"/>
        <v>0.5809127410622057</v>
      </c>
      <c r="J80" s="5">
        <f t="shared" si="15"/>
        <v>0.72614092632775717</v>
      </c>
    </row>
    <row r="81" spans="2:10" x14ac:dyDescent="0.15">
      <c r="B81" s="2">
        <v>79</v>
      </c>
      <c r="C81" s="2">
        <f t="shared" si="8"/>
        <v>80</v>
      </c>
      <c r="D81" s="3">
        <f t="shared" si="9"/>
        <v>8.9442719099991592</v>
      </c>
      <c r="E81" s="3">
        <f t="shared" si="10"/>
        <v>20.65591117977289</v>
      </c>
      <c r="F81" s="5">
        <f t="shared" si="11"/>
        <v>0.1443291450110108</v>
      </c>
      <c r="G81" s="5">
        <f t="shared" si="12"/>
        <v>0.28865829002202159</v>
      </c>
      <c r="H81" s="5">
        <f t="shared" si="13"/>
        <v>0.43298743503303239</v>
      </c>
      <c r="I81" s="5">
        <f t="shared" si="14"/>
        <v>0.57731658004404318</v>
      </c>
      <c r="J81" s="5">
        <f t="shared" si="15"/>
        <v>0.72164572505505398</v>
      </c>
    </row>
    <row r="82" spans="2:10" x14ac:dyDescent="0.15">
      <c r="B82" s="2">
        <v>80</v>
      </c>
      <c r="C82" s="2">
        <f t="shared" si="8"/>
        <v>81</v>
      </c>
      <c r="D82" s="3">
        <f t="shared" si="9"/>
        <v>9</v>
      </c>
      <c r="E82" s="3">
        <f t="shared" si="10"/>
        <v>20.784609690826525</v>
      </c>
      <c r="F82" s="5">
        <f t="shared" si="11"/>
        <v>0.1434465946597682</v>
      </c>
      <c r="G82" s="5">
        <f t="shared" si="12"/>
        <v>0.28689318931953639</v>
      </c>
      <c r="H82" s="5">
        <f t="shared" si="13"/>
        <v>0.43033978397930461</v>
      </c>
      <c r="I82" s="5">
        <f t="shared" si="14"/>
        <v>0.57378637863907278</v>
      </c>
      <c r="J82" s="5">
        <f t="shared" si="15"/>
        <v>0.71723297329884095</v>
      </c>
    </row>
    <row r="83" spans="2:10" x14ac:dyDescent="0.15">
      <c r="B83" s="2">
        <v>81</v>
      </c>
      <c r="C83" s="2">
        <f t="shared" si="8"/>
        <v>82</v>
      </c>
      <c r="D83" s="3">
        <f t="shared" si="9"/>
        <v>9.0553851381374173</v>
      </c>
      <c r="E83" s="3">
        <f t="shared" si="10"/>
        <v>20.912516188477497</v>
      </c>
      <c r="F83" s="5">
        <f t="shared" si="11"/>
        <v>0.14258003629023128</v>
      </c>
      <c r="G83" s="5">
        <f t="shared" si="12"/>
        <v>0.28516007258046255</v>
      </c>
      <c r="H83" s="5">
        <f t="shared" si="13"/>
        <v>0.4277401088706938</v>
      </c>
      <c r="I83" s="5">
        <f t="shared" si="14"/>
        <v>0.57032014516092511</v>
      </c>
      <c r="J83" s="5">
        <f t="shared" si="15"/>
        <v>0.71290018145115641</v>
      </c>
    </row>
    <row r="84" spans="2:10" x14ac:dyDescent="0.15">
      <c r="B84" s="2">
        <v>82</v>
      </c>
      <c r="C84" s="2">
        <f t="shared" si="8"/>
        <v>83</v>
      </c>
      <c r="D84" s="3">
        <f t="shared" si="9"/>
        <v>9.1104335791442992</v>
      </c>
      <c r="E84" s="3">
        <f t="shared" si="10"/>
        <v>21.039645117412665</v>
      </c>
      <c r="F84" s="5">
        <f t="shared" si="11"/>
        <v>0.14172899277542922</v>
      </c>
      <c r="G84" s="5">
        <f t="shared" si="12"/>
        <v>0.28345798555085844</v>
      </c>
      <c r="H84" s="5">
        <f t="shared" si="13"/>
        <v>0.42518697832628766</v>
      </c>
      <c r="I84" s="5">
        <f t="shared" si="14"/>
        <v>0.56691597110171688</v>
      </c>
      <c r="J84" s="5">
        <f t="shared" si="15"/>
        <v>0.70864496387714615</v>
      </c>
    </row>
    <row r="85" spans="2:10" x14ac:dyDescent="0.15">
      <c r="B85" s="2">
        <v>83</v>
      </c>
      <c r="C85" s="2">
        <f t="shared" si="8"/>
        <v>84</v>
      </c>
      <c r="D85" s="3">
        <f t="shared" si="9"/>
        <v>9.1651513899116797</v>
      </c>
      <c r="E85" s="3">
        <f t="shared" si="10"/>
        <v>21.166010488516722</v>
      </c>
      <c r="F85" s="5">
        <f t="shared" si="11"/>
        <v>0.14089300667977894</v>
      </c>
      <c r="G85" s="5">
        <f t="shared" si="12"/>
        <v>0.28178601335955789</v>
      </c>
      <c r="H85" s="5">
        <f t="shared" si="13"/>
        <v>0.42267902003933683</v>
      </c>
      <c r="I85" s="5">
        <f t="shared" si="14"/>
        <v>0.56357202671911577</v>
      </c>
      <c r="J85" s="5">
        <f t="shared" si="15"/>
        <v>0.70446503339889466</v>
      </c>
    </row>
    <row r="86" spans="2:10" x14ac:dyDescent="0.15">
      <c r="B86" s="2">
        <v>84</v>
      </c>
      <c r="C86" s="2">
        <f t="shared" si="8"/>
        <v>85</v>
      </c>
      <c r="D86" s="3">
        <f t="shared" si="9"/>
        <v>9.2195444572928871</v>
      </c>
      <c r="E86" s="3">
        <f t="shared" si="10"/>
        <v>21.291625896895081</v>
      </c>
      <c r="F86" s="5">
        <f t="shared" si="11"/>
        <v>0.14007163922654597</v>
      </c>
      <c r="G86" s="5">
        <f t="shared" si="12"/>
        <v>0.28014327845309195</v>
      </c>
      <c r="H86" s="5">
        <f t="shared" si="13"/>
        <v>0.42021491767963792</v>
      </c>
      <c r="I86" s="5">
        <f t="shared" si="14"/>
        <v>0.5602865569061839</v>
      </c>
      <c r="J86" s="5">
        <f t="shared" si="15"/>
        <v>0.70035819613272987</v>
      </c>
    </row>
    <row r="87" spans="2:10" x14ac:dyDescent="0.15">
      <c r="B87" s="2">
        <v>85</v>
      </c>
      <c r="C87" s="2">
        <f t="shared" si="8"/>
        <v>86</v>
      </c>
      <c r="D87" s="3">
        <f t="shared" si="9"/>
        <v>9.2736184954957039</v>
      </c>
      <c r="E87" s="3">
        <f t="shared" si="10"/>
        <v>21.416504538945347</v>
      </c>
      <c r="F87" s="5">
        <f t="shared" si="11"/>
        <v>0.13926446933070619</v>
      </c>
      <c r="G87" s="5">
        <f t="shared" si="12"/>
        <v>0.27852893866141237</v>
      </c>
      <c r="H87" s="5">
        <f t="shared" si="13"/>
        <v>0.41779340799211856</v>
      </c>
      <c r="I87" s="5">
        <f t="shared" si="14"/>
        <v>0.55705787732282475</v>
      </c>
      <c r="J87" s="5">
        <f t="shared" si="15"/>
        <v>0.69632234665353088</v>
      </c>
    </row>
    <row r="88" spans="2:10" x14ac:dyDescent="0.15">
      <c r="B88" s="2">
        <v>86</v>
      </c>
      <c r="C88" s="2">
        <f t="shared" si="8"/>
        <v>87</v>
      </c>
      <c r="D88" s="3">
        <f t="shared" si="9"/>
        <v>9.3273790530888157</v>
      </c>
      <c r="E88" s="3">
        <f t="shared" si="10"/>
        <v>21.540659228538019</v>
      </c>
      <c r="F88" s="5">
        <f t="shared" si="11"/>
        <v>0.13847109269237054</v>
      </c>
      <c r="G88" s="5">
        <f t="shared" si="12"/>
        <v>0.27694218538474108</v>
      </c>
      <c r="H88" s="5">
        <f t="shared" si="13"/>
        <v>0.41541327807711159</v>
      </c>
      <c r="I88" s="5">
        <f t="shared" si="14"/>
        <v>0.55388437076948216</v>
      </c>
      <c r="J88" s="5">
        <f t="shared" si="15"/>
        <v>0.69235546346185273</v>
      </c>
    </row>
    <row r="89" spans="2:10" x14ac:dyDescent="0.15">
      <c r="B89" s="2">
        <v>87</v>
      </c>
      <c r="C89" s="2">
        <f t="shared" si="8"/>
        <v>88</v>
      </c>
      <c r="D89" s="3">
        <f t="shared" si="9"/>
        <v>9.3808315196468595</v>
      </c>
      <c r="E89" s="3">
        <f t="shared" si="10"/>
        <v>21.664102412362563</v>
      </c>
      <c r="F89" s="5">
        <f t="shared" si="11"/>
        <v>0.13769112094634162</v>
      </c>
      <c r="G89" s="5">
        <f t="shared" si="12"/>
        <v>0.27538224189268323</v>
      </c>
      <c r="H89" s="5">
        <f t="shared" si="13"/>
        <v>0.41307336283902485</v>
      </c>
      <c r="I89" s="5">
        <f t="shared" si="14"/>
        <v>0.55076448378536647</v>
      </c>
      <c r="J89" s="5">
        <f t="shared" si="15"/>
        <v>0.68845560473170808</v>
      </c>
    </row>
    <row r="90" spans="2:10" x14ac:dyDescent="0.15">
      <c r="B90" s="2">
        <v>88</v>
      </c>
      <c r="C90" s="2">
        <f t="shared" si="8"/>
        <v>89</v>
      </c>
      <c r="D90" s="3">
        <f t="shared" si="9"/>
        <v>9.4339811320566032</v>
      </c>
      <c r="E90" s="3">
        <f t="shared" si="10"/>
        <v>21.786846184490923</v>
      </c>
      <c r="F90" s="5">
        <f t="shared" si="11"/>
        <v>0.13692418086374053</v>
      </c>
      <c r="G90" s="5">
        <f t="shared" si="12"/>
        <v>0.27384836172748106</v>
      </c>
      <c r="H90" s="5">
        <f t="shared" si="13"/>
        <v>0.41077254259122159</v>
      </c>
      <c r="I90" s="5">
        <f t="shared" si="14"/>
        <v>0.54769672345496212</v>
      </c>
      <c r="J90" s="5">
        <f t="shared" si="15"/>
        <v>0.68462090431870259</v>
      </c>
    </row>
    <row r="91" spans="2:10" x14ac:dyDescent="0.15">
      <c r="B91" s="2">
        <v>89</v>
      </c>
      <c r="C91" s="2">
        <f t="shared" si="8"/>
        <v>90</v>
      </c>
      <c r="D91" s="3">
        <f t="shared" si="9"/>
        <v>9.4868329805051381</v>
      </c>
      <c r="E91" s="3">
        <f t="shared" si="10"/>
        <v>21.908902300206645</v>
      </c>
      <c r="F91" s="5">
        <f t="shared" si="11"/>
        <v>0.1361699136019788</v>
      </c>
      <c r="G91" s="5">
        <f t="shared" si="12"/>
        <v>0.27233982720395761</v>
      </c>
      <c r="H91" s="5">
        <f t="shared" si="13"/>
        <v>0.40850974080593638</v>
      </c>
      <c r="I91" s="5">
        <f t="shared" si="14"/>
        <v>0.54467965440791521</v>
      </c>
      <c r="J91" s="5">
        <f t="shared" si="15"/>
        <v>0.68084956800989405</v>
      </c>
    </row>
    <row r="92" spans="2:10" x14ac:dyDescent="0.15">
      <c r="B92" s="2">
        <v>90</v>
      </c>
      <c r="C92" s="2">
        <f t="shared" si="8"/>
        <v>91</v>
      </c>
      <c r="D92" s="3">
        <f t="shared" si="9"/>
        <v>9.5393920141694561</v>
      </c>
      <c r="E92" s="3">
        <f t="shared" si="10"/>
        <v>22.030282189144405</v>
      </c>
      <c r="F92" s="5">
        <f t="shared" si="11"/>
        <v>0.13542797399965378</v>
      </c>
      <c r="G92" s="5">
        <f t="shared" si="12"/>
        <v>0.27085594799930757</v>
      </c>
      <c r="H92" s="5">
        <f t="shared" si="13"/>
        <v>0.40628392199896135</v>
      </c>
      <c r="I92" s="5">
        <f t="shared" si="14"/>
        <v>0.54171189599861513</v>
      </c>
      <c r="J92" s="5">
        <f t="shared" si="15"/>
        <v>0.67713986999826892</v>
      </c>
    </row>
    <row r="93" spans="2:10" x14ac:dyDescent="0.15">
      <c r="B93" s="2">
        <v>91</v>
      </c>
      <c r="C93" s="2">
        <f t="shared" si="8"/>
        <v>92</v>
      </c>
      <c r="D93" s="3">
        <f t="shared" si="9"/>
        <v>9.5916630466254382</v>
      </c>
      <c r="E93" s="3">
        <f t="shared" si="10"/>
        <v>22.150996967781527</v>
      </c>
      <c r="F93" s="5">
        <f t="shared" si="11"/>
        <v>0.1346980299132215</v>
      </c>
      <c r="G93" s="5">
        <f t="shared" si="12"/>
        <v>0.26939605982644299</v>
      </c>
      <c r="H93" s="5">
        <f t="shared" si="13"/>
        <v>0.40409408973966449</v>
      </c>
      <c r="I93" s="5">
        <f t="shared" si="14"/>
        <v>0.53879211965288598</v>
      </c>
      <c r="J93" s="5">
        <f t="shared" si="15"/>
        <v>0.67349014956610742</v>
      </c>
    </row>
    <row r="94" spans="2:10" x14ac:dyDescent="0.15">
      <c r="B94" s="2">
        <v>92</v>
      </c>
      <c r="C94" s="2">
        <f t="shared" si="8"/>
        <v>93</v>
      </c>
      <c r="D94" s="3">
        <f t="shared" si="9"/>
        <v>9.6436507609929549</v>
      </c>
      <c r="E94" s="3">
        <f t="shared" si="10"/>
        <v>22.271057451320086</v>
      </c>
      <c r="F94" s="5">
        <f t="shared" si="11"/>
        <v>0.1339797615925539</v>
      </c>
      <c r="G94" s="5">
        <f t="shared" si="12"/>
        <v>0.2679595231851078</v>
      </c>
      <c r="H94" s="5">
        <f t="shared" si="13"/>
        <v>0.40193928477766172</v>
      </c>
      <c r="I94" s="5">
        <f t="shared" si="14"/>
        <v>0.53591904637021559</v>
      </c>
      <c r="J94" s="5">
        <f t="shared" si="15"/>
        <v>0.66989880796276946</v>
      </c>
    </row>
    <row r="95" spans="2:10" x14ac:dyDescent="0.15">
      <c r="B95" s="2">
        <v>93</v>
      </c>
      <c r="C95" s="2">
        <f t="shared" si="8"/>
        <v>94</v>
      </c>
      <c r="D95" s="3">
        <f t="shared" si="9"/>
        <v>9.6953597148326587</v>
      </c>
      <c r="E95" s="3">
        <f t="shared" si="10"/>
        <v>22.390474164995553</v>
      </c>
      <c r="F95" s="5">
        <f t="shared" si="11"/>
        <v>0.13327286109271563</v>
      </c>
      <c r="G95" s="5">
        <f t="shared" si="12"/>
        <v>0.26654572218543127</v>
      </c>
      <c r="H95" s="5">
        <f t="shared" si="13"/>
        <v>0.3998185832781469</v>
      </c>
      <c r="I95" s="5">
        <f t="shared" si="14"/>
        <v>0.53309144437086253</v>
      </c>
      <c r="J95" s="5">
        <f t="shared" si="15"/>
        <v>0.66636430546357817</v>
      </c>
    </row>
    <row r="96" spans="2:10" x14ac:dyDescent="0.15">
      <c r="B96" s="2">
        <v>94</v>
      </c>
      <c r="C96" s="2">
        <f t="shared" si="8"/>
        <v>95</v>
      </c>
      <c r="D96" s="3">
        <f t="shared" si="9"/>
        <v>9.7467943448089631</v>
      </c>
      <c r="E96" s="3">
        <f t="shared" si="10"/>
        <v>22.509257354845506</v>
      </c>
      <c r="F96" s="5">
        <f t="shared" si="11"/>
        <v>0.13257703171950216</v>
      </c>
      <c r="G96" s="5">
        <f t="shared" si="12"/>
        <v>0.26515406343900433</v>
      </c>
      <c r="H96" s="5">
        <f t="shared" si="13"/>
        <v>0.39773109515850646</v>
      </c>
      <c r="I96" s="5">
        <f t="shared" si="14"/>
        <v>0.53030812687800866</v>
      </c>
      <c r="J96" s="5">
        <f t="shared" si="15"/>
        <v>0.66288515859751085</v>
      </c>
    </row>
    <row r="97" spans="2:10" x14ac:dyDescent="0.15">
      <c r="B97" s="2">
        <v>95</v>
      </c>
      <c r="C97" s="2">
        <f t="shared" si="8"/>
        <v>96</v>
      </c>
      <c r="D97" s="3">
        <f t="shared" si="9"/>
        <v>9.7979589711327115</v>
      </c>
      <c r="E97" s="3">
        <f t="shared" si="10"/>
        <v>22.627416997969519</v>
      </c>
      <c r="F97" s="5">
        <f t="shared" si="11"/>
        <v>0.13189198750647521</v>
      </c>
      <c r="G97" s="5">
        <f t="shared" si="12"/>
        <v>0.26378397501295042</v>
      </c>
      <c r="H97" s="5">
        <f t="shared" si="13"/>
        <v>0.39567596251942561</v>
      </c>
      <c r="I97" s="5">
        <f t="shared" si="14"/>
        <v>0.52756795002590084</v>
      </c>
      <c r="J97" s="5">
        <f t="shared" si="15"/>
        <v>0.65945993753237608</v>
      </c>
    </row>
    <row r="98" spans="2:10" x14ac:dyDescent="0.15">
      <c r="B98" s="2">
        <v>96</v>
      </c>
      <c r="C98" s="2">
        <f t="shared" si="8"/>
        <v>97</v>
      </c>
      <c r="D98" s="3">
        <f t="shared" si="9"/>
        <v>9.8488578017961039</v>
      </c>
      <c r="E98" s="3">
        <f t="shared" si="10"/>
        <v>22.744962812309307</v>
      </c>
      <c r="F98" s="5">
        <f t="shared" si="11"/>
        <v>0.13121745272140128</v>
      </c>
      <c r="G98" s="5">
        <f t="shared" si="12"/>
        <v>0.26243490544280257</v>
      </c>
      <c r="H98" s="5">
        <f t="shared" si="13"/>
        <v>0.39365235816420385</v>
      </c>
      <c r="I98" s="5">
        <f t="shared" si="14"/>
        <v>0.52486981088560514</v>
      </c>
      <c r="J98" s="5">
        <f t="shared" si="15"/>
        <v>0.65608726360700642</v>
      </c>
    </row>
    <row r="99" spans="2:10" x14ac:dyDescent="0.15">
      <c r="B99" s="2">
        <v>97</v>
      </c>
      <c r="C99" s="2">
        <f t="shared" si="8"/>
        <v>98</v>
      </c>
      <c r="D99" s="3">
        <f t="shared" si="9"/>
        <v>9.8994949366116654</v>
      </c>
      <c r="E99" s="3">
        <f t="shared" si="10"/>
        <v>22.861904265976325</v>
      </c>
      <c r="F99" s="5">
        <f t="shared" si="11"/>
        <v>0.13055316140016032</v>
      </c>
      <c r="G99" s="5">
        <f t="shared" si="12"/>
        <v>0.26110632280032064</v>
      </c>
      <c r="H99" s="5">
        <f t="shared" si="13"/>
        <v>0.39165948420048097</v>
      </c>
      <c r="I99" s="5">
        <f t="shared" si="14"/>
        <v>0.52221264560064129</v>
      </c>
      <c r="J99" s="5">
        <f t="shared" si="15"/>
        <v>0.65276580700080156</v>
      </c>
    </row>
    <row r="100" spans="2:10" x14ac:dyDescent="0.15">
      <c r="B100" s="2">
        <v>98</v>
      </c>
      <c r="C100" s="2">
        <f t="shared" si="8"/>
        <v>99</v>
      </c>
      <c r="D100" s="3">
        <f t="shared" si="9"/>
        <v>9.9498743710661994</v>
      </c>
      <c r="E100" s="3">
        <f t="shared" si="10"/>
        <v>22.978250586152114</v>
      </c>
      <c r="F100" s="5">
        <f t="shared" si="11"/>
        <v>0.12989885690633513</v>
      </c>
      <c r="G100" s="5">
        <f t="shared" si="12"/>
        <v>0.25979771381267025</v>
      </c>
      <c r="H100" s="5">
        <f t="shared" si="13"/>
        <v>0.38969657071900538</v>
      </c>
      <c r="I100" s="5">
        <f t="shared" si="14"/>
        <v>0.5195954276253405</v>
      </c>
      <c r="J100" s="5">
        <f t="shared" si="15"/>
        <v>0.64949428453167557</v>
      </c>
    </row>
    <row r="101" spans="2:10" x14ac:dyDescent="0.15">
      <c r="B101" s="2">
        <v>99</v>
      </c>
      <c r="C101" s="2">
        <f t="shared" si="8"/>
        <v>100</v>
      </c>
      <c r="D101" s="3">
        <f t="shared" si="9"/>
        <v>10</v>
      </c>
      <c r="E101" s="3">
        <f t="shared" si="10"/>
        <v>23.094010767585029</v>
      </c>
      <c r="F101" s="5">
        <f t="shared" si="11"/>
        <v>0.12925429151482751</v>
      </c>
      <c r="G101" s="5">
        <f t="shared" si="12"/>
        <v>0.25850858302965501</v>
      </c>
      <c r="H101" s="5">
        <f t="shared" si="13"/>
        <v>0.38776287454448255</v>
      </c>
      <c r="I101" s="5">
        <f t="shared" si="14"/>
        <v>0.51701716605931003</v>
      </c>
      <c r="J101" s="5">
        <f t="shared" si="15"/>
        <v>0.64627145757413751</v>
      </c>
    </row>
    <row r="102" spans="2:10" x14ac:dyDescent="0.15">
      <c r="B102" s="2">
        <v>100</v>
      </c>
      <c r="C102" s="2">
        <f t="shared" si="8"/>
        <v>101</v>
      </c>
      <c r="D102" s="3">
        <f t="shared" si="9"/>
        <v>10.04987562112089</v>
      </c>
      <c r="E102" s="3">
        <f t="shared" si="10"/>
        <v>23.209193580705612</v>
      </c>
      <c r="F102" s="5">
        <f t="shared" si="11"/>
        <v>0.12861922601796535</v>
      </c>
      <c r="G102" s="5">
        <f t="shared" si="12"/>
        <v>0.25723845203593071</v>
      </c>
      <c r="H102" s="5">
        <f t="shared" si="13"/>
        <v>0.38585767805389604</v>
      </c>
      <c r="I102" s="5">
        <f t="shared" si="14"/>
        <v>0.51447690407186142</v>
      </c>
      <c r="J102" s="5">
        <f t="shared" si="15"/>
        <v>0.6430961300898268</v>
      </c>
    </row>
    <row r="103" spans="2:10" x14ac:dyDescent="0.15">
      <c r="B103"/>
      <c r="C103"/>
      <c r="D103"/>
      <c r="E103"/>
      <c r="F103" s="7"/>
      <c r="G103" s="7"/>
      <c r="H103" s="7"/>
      <c r="I103" s="7"/>
      <c r="J103" s="7"/>
    </row>
    <row r="104" spans="2:10" x14ac:dyDescent="0.15">
      <c r="B104"/>
      <c r="C104"/>
      <c r="D104"/>
      <c r="E104"/>
      <c r="F104" s="7"/>
      <c r="G104" s="7"/>
      <c r="H104" s="7"/>
      <c r="I104" s="7"/>
      <c r="J104" s="7"/>
    </row>
    <row r="105" spans="2:10" x14ac:dyDescent="0.15">
      <c r="B105"/>
      <c r="C105"/>
      <c r="D105"/>
      <c r="E105"/>
      <c r="F105" s="7"/>
      <c r="G105" s="7"/>
      <c r="H105" s="7"/>
      <c r="I105" s="7"/>
      <c r="J105" s="7"/>
    </row>
    <row r="106" spans="2:10" x14ac:dyDescent="0.15">
      <c r="B106"/>
      <c r="C106"/>
      <c r="D106"/>
      <c r="E106"/>
      <c r="F106" s="7"/>
      <c r="G106" s="7"/>
      <c r="H106" s="7"/>
      <c r="I106" s="7"/>
      <c r="J106" s="7"/>
    </row>
    <row r="107" spans="2:10" x14ac:dyDescent="0.15">
      <c r="B107"/>
      <c r="C107"/>
      <c r="D107"/>
      <c r="E107"/>
      <c r="F107" s="7"/>
      <c r="G107" s="7"/>
      <c r="H107" s="7"/>
      <c r="I107" s="7"/>
      <c r="J107" s="7"/>
    </row>
    <row r="108" spans="2:10" x14ac:dyDescent="0.15">
      <c r="B108"/>
      <c r="C108"/>
      <c r="D108"/>
      <c r="E108"/>
      <c r="F108" s="7"/>
      <c r="G108" s="7"/>
      <c r="H108" s="7"/>
      <c r="I108" s="7"/>
      <c r="J108" s="7"/>
    </row>
    <row r="109" spans="2:10" x14ac:dyDescent="0.15">
      <c r="B109"/>
      <c r="C109"/>
      <c r="D109"/>
      <c r="E109"/>
      <c r="F109" s="7"/>
      <c r="G109" s="7"/>
      <c r="H109" s="7"/>
      <c r="I109" s="7"/>
      <c r="J109" s="7"/>
    </row>
    <row r="110" spans="2:10" x14ac:dyDescent="0.15">
      <c r="B110"/>
      <c r="C110"/>
      <c r="D110"/>
      <c r="E110"/>
      <c r="F110" s="7"/>
      <c r="G110" s="7"/>
      <c r="H110" s="7"/>
      <c r="I110" s="7"/>
      <c r="J110" s="7"/>
    </row>
    <row r="111" spans="2:10" x14ac:dyDescent="0.15">
      <c r="B111"/>
      <c r="C111"/>
      <c r="D111"/>
      <c r="E111"/>
      <c r="F111" s="7"/>
      <c r="G111" s="7"/>
      <c r="H111" s="7"/>
      <c r="I111" s="7"/>
      <c r="J111" s="7"/>
    </row>
    <row r="112" spans="2:10" x14ac:dyDescent="0.15">
      <c r="B112"/>
      <c r="C112"/>
      <c r="D112"/>
      <c r="E112"/>
      <c r="F112" s="7"/>
      <c r="G112" s="7"/>
      <c r="H112" s="7"/>
      <c r="I112" s="7"/>
      <c r="J112" s="7"/>
    </row>
    <row r="113" spans="2:10" x14ac:dyDescent="0.15">
      <c r="B113"/>
      <c r="C113"/>
      <c r="D113"/>
      <c r="E113"/>
      <c r="F113" s="7"/>
      <c r="G113" s="7"/>
      <c r="H113" s="7"/>
      <c r="I113" s="7"/>
      <c r="J113" s="7"/>
    </row>
    <row r="114" spans="2:10" x14ac:dyDescent="0.15">
      <c r="B114"/>
      <c r="C114"/>
      <c r="D114"/>
      <c r="E114"/>
      <c r="F114" s="7"/>
      <c r="G114" s="7"/>
      <c r="H114" s="7"/>
      <c r="I114" s="7"/>
      <c r="J114" s="7"/>
    </row>
    <row r="115" spans="2:10" x14ac:dyDescent="0.15">
      <c r="B115"/>
      <c r="C115"/>
      <c r="D115"/>
      <c r="E115"/>
      <c r="F115" s="7"/>
      <c r="G115" s="7"/>
      <c r="H115" s="7"/>
      <c r="I115" s="7"/>
      <c r="J115" s="7"/>
    </row>
    <row r="116" spans="2:10" x14ac:dyDescent="0.15">
      <c r="B116"/>
      <c r="C116"/>
      <c r="D116"/>
      <c r="E116"/>
      <c r="F116" s="7"/>
      <c r="G116" s="7"/>
      <c r="H116" s="7"/>
      <c r="I116" s="7"/>
      <c r="J116" s="7"/>
    </row>
    <row r="117" spans="2:10" x14ac:dyDescent="0.15">
      <c r="B117"/>
      <c r="C117"/>
      <c r="D117"/>
      <c r="E117"/>
      <c r="F117" s="7"/>
      <c r="G117" s="7"/>
      <c r="H117" s="7"/>
      <c r="I117" s="7"/>
      <c r="J117" s="7"/>
    </row>
    <row r="118" spans="2:10" x14ac:dyDescent="0.15">
      <c r="B118"/>
      <c r="C118"/>
      <c r="D118"/>
      <c r="E118"/>
      <c r="F118" s="7"/>
      <c r="G118" s="7"/>
      <c r="H118" s="7"/>
      <c r="I118" s="7"/>
      <c r="J118" s="7"/>
    </row>
    <row r="119" spans="2:10" x14ac:dyDescent="0.15">
      <c r="B119"/>
      <c r="C119"/>
      <c r="D119"/>
      <c r="E119"/>
      <c r="F119" s="7"/>
      <c r="G119" s="7"/>
      <c r="H119" s="7"/>
      <c r="I119" s="7"/>
      <c r="J119" s="7"/>
    </row>
    <row r="120" spans="2:10" x14ac:dyDescent="0.15">
      <c r="B120"/>
      <c r="C120"/>
      <c r="D120"/>
      <c r="E120"/>
      <c r="F120" s="7"/>
      <c r="G120" s="7"/>
      <c r="H120" s="7"/>
      <c r="I120" s="7"/>
      <c r="J120" s="7"/>
    </row>
    <row r="121" spans="2:10" x14ac:dyDescent="0.15">
      <c r="B121"/>
      <c r="C121"/>
      <c r="D121"/>
      <c r="E121"/>
      <c r="F121" s="7"/>
      <c r="G121" s="7"/>
      <c r="H121" s="7"/>
      <c r="I121" s="7"/>
      <c r="J121" s="7"/>
    </row>
    <row r="122" spans="2:10" x14ac:dyDescent="0.15">
      <c r="B122"/>
      <c r="C122"/>
      <c r="D122"/>
      <c r="E122"/>
      <c r="F122" s="7"/>
      <c r="G122" s="7"/>
      <c r="H122" s="7"/>
      <c r="I122" s="7"/>
      <c r="J122" s="7"/>
    </row>
    <row r="123" spans="2:10" x14ac:dyDescent="0.15">
      <c r="B123"/>
      <c r="C123"/>
      <c r="D123"/>
      <c r="E123"/>
      <c r="F123" s="7"/>
      <c r="G123" s="7"/>
      <c r="H123" s="7"/>
      <c r="I123" s="7"/>
      <c r="J123" s="7"/>
    </row>
    <row r="124" spans="2:10" x14ac:dyDescent="0.15">
      <c r="B124"/>
      <c r="C124"/>
      <c r="D124"/>
      <c r="E124"/>
      <c r="F124" s="7"/>
      <c r="G124" s="7"/>
      <c r="H124" s="7"/>
      <c r="I124" s="7"/>
      <c r="J124" s="7"/>
    </row>
    <row r="125" spans="2:10" x14ac:dyDescent="0.15">
      <c r="B125"/>
      <c r="C125"/>
      <c r="D125"/>
      <c r="E125"/>
      <c r="F125" s="7"/>
      <c r="G125" s="7"/>
      <c r="H125" s="7"/>
      <c r="I125" s="7"/>
      <c r="J125" s="7"/>
    </row>
    <row r="126" spans="2:10" x14ac:dyDescent="0.15">
      <c r="B126"/>
      <c r="C126"/>
      <c r="D126"/>
      <c r="E126"/>
      <c r="F126" s="7"/>
      <c r="G126" s="7"/>
      <c r="H126" s="7"/>
      <c r="I126" s="7"/>
      <c r="J126" s="7"/>
    </row>
    <row r="127" spans="2:10" x14ac:dyDescent="0.15">
      <c r="B127"/>
      <c r="C127"/>
      <c r="D127"/>
      <c r="E127"/>
      <c r="F127" s="7"/>
      <c r="G127" s="7"/>
      <c r="H127" s="7"/>
      <c r="I127" s="7"/>
      <c r="J127" s="7"/>
    </row>
    <row r="128" spans="2:10" x14ac:dyDescent="0.15">
      <c r="B128"/>
      <c r="C128"/>
      <c r="D128"/>
      <c r="E128"/>
      <c r="F128" s="7"/>
      <c r="G128" s="7"/>
      <c r="H128" s="7"/>
      <c r="I128" s="7"/>
      <c r="J128" s="7"/>
    </row>
    <row r="129" spans="2:10" x14ac:dyDescent="0.15">
      <c r="B129"/>
      <c r="C129"/>
      <c r="D129"/>
      <c r="E129"/>
      <c r="F129" s="7"/>
      <c r="G129" s="7"/>
      <c r="H129" s="7"/>
      <c r="I129" s="7"/>
      <c r="J129" s="7"/>
    </row>
    <row r="130" spans="2:10" x14ac:dyDescent="0.15">
      <c r="B130"/>
      <c r="C130"/>
      <c r="D130"/>
      <c r="E130"/>
      <c r="F130" s="7"/>
      <c r="G130" s="7"/>
      <c r="H130" s="7"/>
      <c r="I130" s="7"/>
      <c r="J130" s="7"/>
    </row>
    <row r="131" spans="2:10" x14ac:dyDescent="0.15">
      <c r="B131"/>
      <c r="C131"/>
      <c r="D131"/>
      <c r="E131"/>
      <c r="F131" s="7"/>
      <c r="G131" s="7"/>
      <c r="H131" s="7"/>
      <c r="I131" s="7"/>
      <c r="J131" s="7"/>
    </row>
    <row r="132" spans="2:10" x14ac:dyDescent="0.15">
      <c r="B132"/>
      <c r="C132"/>
      <c r="D132"/>
      <c r="E132"/>
      <c r="F132" s="7"/>
      <c r="G132" s="7"/>
      <c r="H132" s="7"/>
      <c r="I132" s="7"/>
      <c r="J132" s="7"/>
    </row>
    <row r="133" spans="2:10" x14ac:dyDescent="0.15">
      <c r="B133"/>
      <c r="C133"/>
      <c r="D133"/>
      <c r="E133"/>
      <c r="F133" s="7"/>
      <c r="G133" s="7"/>
      <c r="H133" s="7"/>
      <c r="I133" s="7"/>
      <c r="J133" s="7"/>
    </row>
    <row r="134" spans="2:10" x14ac:dyDescent="0.15">
      <c r="B134"/>
      <c r="C134"/>
      <c r="D134"/>
      <c r="E134"/>
      <c r="F134" s="7"/>
      <c r="G134" s="7"/>
      <c r="H134" s="7"/>
      <c r="I134" s="7"/>
      <c r="J134" s="7"/>
    </row>
    <row r="135" spans="2:10" x14ac:dyDescent="0.15">
      <c r="B135"/>
      <c r="C135"/>
      <c r="D135"/>
      <c r="E135"/>
      <c r="F135" s="7"/>
      <c r="G135" s="7"/>
      <c r="H135" s="7"/>
      <c r="I135" s="7"/>
      <c r="J135" s="7"/>
    </row>
    <row r="136" spans="2:10" x14ac:dyDescent="0.15">
      <c r="B136"/>
      <c r="C136"/>
      <c r="D136"/>
      <c r="E136"/>
      <c r="F136" s="7"/>
      <c r="G136" s="7"/>
      <c r="H136" s="7"/>
      <c r="I136" s="7"/>
      <c r="J136" s="7"/>
    </row>
    <row r="137" spans="2:10" x14ac:dyDescent="0.15">
      <c r="B137"/>
      <c r="C137"/>
      <c r="D137"/>
      <c r="E137"/>
      <c r="F137" s="7"/>
      <c r="G137" s="7"/>
      <c r="H137" s="7"/>
      <c r="I137" s="7"/>
      <c r="J137" s="7"/>
    </row>
    <row r="138" spans="2:10" x14ac:dyDescent="0.15">
      <c r="B138"/>
      <c r="C138"/>
      <c r="D138"/>
      <c r="E138"/>
      <c r="F138" s="7"/>
      <c r="G138" s="7"/>
      <c r="H138" s="7"/>
      <c r="I138" s="7"/>
      <c r="J138" s="7"/>
    </row>
    <row r="139" spans="2:10" x14ac:dyDescent="0.15">
      <c r="B139"/>
      <c r="C139"/>
      <c r="D139"/>
      <c r="E139"/>
      <c r="F139" s="7"/>
      <c r="G139" s="7"/>
      <c r="H139" s="7"/>
      <c r="I139" s="7"/>
      <c r="J139" s="7"/>
    </row>
    <row r="140" spans="2:10" x14ac:dyDescent="0.15">
      <c r="B140"/>
      <c r="C140"/>
      <c r="D140"/>
      <c r="E140"/>
      <c r="F140" s="7"/>
      <c r="G140" s="7"/>
      <c r="H140" s="7"/>
      <c r="I140" s="7"/>
      <c r="J140" s="7"/>
    </row>
    <row r="141" spans="2:10" x14ac:dyDescent="0.15">
      <c r="B141"/>
      <c r="C141"/>
      <c r="D141"/>
      <c r="E141"/>
      <c r="F141" s="7"/>
      <c r="G141" s="7"/>
      <c r="H141" s="7"/>
      <c r="I141" s="7"/>
      <c r="J141" s="7"/>
    </row>
    <row r="142" spans="2:10" x14ac:dyDescent="0.15">
      <c r="B142"/>
      <c r="C142"/>
      <c r="D142"/>
      <c r="E142"/>
      <c r="F142" s="7"/>
      <c r="G142" s="7"/>
      <c r="H142" s="7"/>
      <c r="I142" s="7"/>
      <c r="J142" s="7"/>
    </row>
    <row r="143" spans="2:10" x14ac:dyDescent="0.15">
      <c r="B143"/>
      <c r="C143"/>
      <c r="D143"/>
      <c r="E143"/>
      <c r="F143" s="7"/>
      <c r="G143" s="7"/>
      <c r="H143" s="7"/>
      <c r="I143" s="7"/>
      <c r="J143" s="7"/>
    </row>
    <row r="144" spans="2:10" x14ac:dyDescent="0.15">
      <c r="B144"/>
      <c r="C144"/>
      <c r="D144"/>
      <c r="E144"/>
      <c r="F144" s="7"/>
      <c r="G144" s="7"/>
      <c r="H144" s="7"/>
      <c r="I144" s="7"/>
      <c r="J144" s="7"/>
    </row>
    <row r="145" spans="2:10" x14ac:dyDescent="0.15">
      <c r="B145"/>
      <c r="C145"/>
      <c r="D145"/>
      <c r="E145"/>
      <c r="F145" s="7"/>
      <c r="G145" s="7"/>
      <c r="H145" s="7"/>
      <c r="I145" s="7"/>
      <c r="J145" s="7"/>
    </row>
    <row r="146" spans="2:10" x14ac:dyDescent="0.15">
      <c r="B146"/>
      <c r="C146"/>
      <c r="D146"/>
      <c r="E146"/>
      <c r="F146" s="7"/>
      <c r="G146" s="7"/>
      <c r="H146" s="7"/>
      <c r="I146" s="7"/>
      <c r="J146" s="7"/>
    </row>
    <row r="147" spans="2:10" x14ac:dyDescent="0.15">
      <c r="B147"/>
      <c r="C147"/>
      <c r="D147"/>
      <c r="E147"/>
      <c r="F147" s="7"/>
      <c r="G147" s="7"/>
      <c r="H147" s="7"/>
      <c r="I147" s="7"/>
      <c r="J147" s="7"/>
    </row>
    <row r="148" spans="2:10" x14ac:dyDescent="0.15">
      <c r="B148"/>
      <c r="C148"/>
      <c r="D148"/>
      <c r="E148"/>
      <c r="F148" s="7"/>
      <c r="G148" s="7"/>
      <c r="H148" s="7"/>
      <c r="I148" s="7"/>
      <c r="J148" s="7"/>
    </row>
    <row r="149" spans="2:10" x14ac:dyDescent="0.15">
      <c r="B149"/>
      <c r="C149"/>
      <c r="D149"/>
      <c r="E149"/>
      <c r="F149" s="7"/>
      <c r="G149" s="7"/>
      <c r="H149" s="7"/>
      <c r="I149" s="7"/>
      <c r="J149" s="7"/>
    </row>
    <row r="150" spans="2:10" x14ac:dyDescent="0.15">
      <c r="B150"/>
      <c r="C150"/>
      <c r="D150"/>
      <c r="E150"/>
      <c r="F150" s="7"/>
      <c r="G150" s="7"/>
      <c r="H150" s="7"/>
      <c r="I150" s="7"/>
      <c r="J150" s="7"/>
    </row>
    <row r="151" spans="2:10" x14ac:dyDescent="0.15">
      <c r="B151"/>
      <c r="C151"/>
      <c r="D151"/>
      <c r="E151"/>
      <c r="F151" s="7"/>
      <c r="G151" s="7"/>
      <c r="H151" s="7"/>
      <c r="I151" s="7"/>
      <c r="J151" s="7"/>
    </row>
    <row r="152" spans="2:10" x14ac:dyDescent="0.15">
      <c r="B152"/>
      <c r="C152"/>
      <c r="D152"/>
      <c r="E152"/>
      <c r="F152" s="7"/>
      <c r="G152" s="7"/>
      <c r="H152" s="7"/>
      <c r="I152" s="7"/>
      <c r="J152" s="7"/>
    </row>
    <row r="153" spans="2:10" x14ac:dyDescent="0.15">
      <c r="B153"/>
      <c r="C153"/>
      <c r="D153"/>
      <c r="E153"/>
      <c r="F153" s="7"/>
      <c r="G153" s="7"/>
      <c r="H153" s="7"/>
      <c r="I153" s="7"/>
      <c r="J153" s="7"/>
    </row>
    <row r="154" spans="2:10" x14ac:dyDescent="0.15">
      <c r="B154"/>
      <c r="C154"/>
      <c r="D154"/>
      <c r="E154"/>
      <c r="F154" s="7"/>
      <c r="G154" s="7"/>
      <c r="H154" s="7"/>
      <c r="I154" s="7"/>
      <c r="J154" s="7"/>
    </row>
    <row r="155" spans="2:10" x14ac:dyDescent="0.15">
      <c r="B155"/>
      <c r="C155"/>
      <c r="D155"/>
      <c r="E155"/>
      <c r="F155" s="7"/>
      <c r="G155" s="7"/>
      <c r="H155" s="7"/>
      <c r="I155" s="7"/>
      <c r="J155" s="7"/>
    </row>
    <row r="156" spans="2:10" x14ac:dyDescent="0.15">
      <c r="B156"/>
      <c r="C156"/>
      <c r="D156"/>
      <c r="E156"/>
      <c r="F156" s="7"/>
      <c r="G156" s="7"/>
      <c r="H156" s="7"/>
      <c r="I156" s="7"/>
      <c r="J156" s="7"/>
    </row>
    <row r="157" spans="2:10" x14ac:dyDescent="0.15">
      <c r="B157"/>
      <c r="C157"/>
      <c r="D157"/>
      <c r="E157"/>
      <c r="F157" s="7"/>
      <c r="G157" s="7"/>
      <c r="H157" s="7"/>
      <c r="I157" s="7"/>
      <c r="J157" s="7"/>
    </row>
    <row r="158" spans="2:10" x14ac:dyDescent="0.15">
      <c r="B158"/>
      <c r="C158"/>
      <c r="D158"/>
      <c r="E158"/>
      <c r="F158" s="7"/>
      <c r="G158" s="7"/>
      <c r="H158" s="7"/>
      <c r="I158" s="7"/>
      <c r="J158" s="7"/>
    </row>
    <row r="159" spans="2:10" x14ac:dyDescent="0.15">
      <c r="B159"/>
      <c r="C159"/>
      <c r="D159"/>
      <c r="E159"/>
      <c r="F159" s="7"/>
      <c r="G159" s="7"/>
      <c r="H159" s="7"/>
      <c r="I159" s="7"/>
      <c r="J159" s="7"/>
    </row>
    <row r="160" spans="2:10" x14ac:dyDescent="0.15">
      <c r="B160"/>
      <c r="C160"/>
      <c r="D160"/>
      <c r="E160"/>
      <c r="F160" s="7"/>
      <c r="G160" s="7"/>
      <c r="H160" s="7"/>
      <c r="I160" s="7"/>
      <c r="J160" s="7"/>
    </row>
    <row r="161" spans="2:10" x14ac:dyDescent="0.15">
      <c r="B161"/>
      <c r="C161"/>
      <c r="D161"/>
      <c r="E161"/>
      <c r="F161" s="7"/>
      <c r="G161" s="7"/>
      <c r="H161" s="7"/>
      <c r="I161" s="7"/>
      <c r="J161" s="7"/>
    </row>
    <row r="162" spans="2:10" x14ac:dyDescent="0.15">
      <c r="B162"/>
      <c r="C162"/>
      <c r="D162"/>
      <c r="E162"/>
      <c r="F162" s="7"/>
      <c r="G162" s="7"/>
      <c r="H162" s="7"/>
      <c r="I162" s="7"/>
      <c r="J162" s="7"/>
    </row>
    <row r="163" spans="2:10" x14ac:dyDescent="0.15">
      <c r="B163"/>
      <c r="C163"/>
      <c r="D163"/>
      <c r="E163"/>
      <c r="F163" s="7"/>
      <c r="G163" s="7"/>
      <c r="H163" s="7"/>
      <c r="I163" s="7"/>
      <c r="J163" s="7"/>
    </row>
    <row r="164" spans="2:10" x14ac:dyDescent="0.15">
      <c r="B164"/>
      <c r="C164"/>
      <c r="D164"/>
      <c r="E164"/>
      <c r="F164" s="7"/>
      <c r="G164" s="7"/>
      <c r="H164" s="7"/>
      <c r="I164" s="7"/>
      <c r="J164" s="7"/>
    </row>
    <row r="165" spans="2:10" x14ac:dyDescent="0.15">
      <c r="B165"/>
      <c r="C165"/>
      <c r="D165"/>
      <c r="E165"/>
      <c r="F165" s="7"/>
      <c r="G165" s="7"/>
      <c r="H165" s="7"/>
      <c r="I165" s="7"/>
      <c r="J165" s="7"/>
    </row>
    <row r="166" spans="2:10" x14ac:dyDescent="0.15">
      <c r="B166"/>
      <c r="C166"/>
      <c r="D166"/>
      <c r="E166"/>
      <c r="F166" s="7"/>
      <c r="G166" s="7"/>
      <c r="H166" s="7"/>
      <c r="I166" s="7"/>
      <c r="J166" s="7"/>
    </row>
    <row r="167" spans="2:10" x14ac:dyDescent="0.15">
      <c r="B167"/>
      <c r="C167"/>
      <c r="D167"/>
      <c r="E167"/>
      <c r="F167" s="7"/>
      <c r="G167" s="7"/>
      <c r="H167" s="7"/>
      <c r="I167" s="7"/>
      <c r="J167" s="7"/>
    </row>
    <row r="168" spans="2:10" x14ac:dyDescent="0.15">
      <c r="B168"/>
      <c r="C168"/>
      <c r="D168"/>
      <c r="E168"/>
      <c r="F168" s="7"/>
      <c r="G168" s="7"/>
      <c r="H168" s="7"/>
      <c r="I168" s="7"/>
      <c r="J168" s="7"/>
    </row>
    <row r="169" spans="2:10" x14ac:dyDescent="0.15">
      <c r="B169"/>
      <c r="C169"/>
      <c r="D169"/>
      <c r="E169"/>
      <c r="F169" s="7"/>
      <c r="G169" s="7"/>
      <c r="H169" s="7"/>
      <c r="I169" s="7"/>
      <c r="J169" s="7"/>
    </row>
    <row r="170" spans="2:10" x14ac:dyDescent="0.15">
      <c r="B170"/>
      <c r="C170"/>
      <c r="D170"/>
      <c r="E170"/>
      <c r="F170" s="7"/>
      <c r="G170" s="7"/>
      <c r="H170" s="7"/>
      <c r="I170" s="7"/>
      <c r="J170" s="7"/>
    </row>
    <row r="171" spans="2:10" x14ac:dyDescent="0.15">
      <c r="B171"/>
      <c r="C171"/>
      <c r="D171"/>
      <c r="E171"/>
      <c r="F171" s="7"/>
      <c r="G171" s="7"/>
      <c r="H171" s="7"/>
      <c r="I171" s="7"/>
      <c r="J171" s="7"/>
    </row>
    <row r="172" spans="2:10" x14ac:dyDescent="0.15">
      <c r="B172"/>
      <c r="C172"/>
      <c r="D172"/>
      <c r="E172"/>
      <c r="F172" s="7"/>
      <c r="G172" s="7"/>
      <c r="H172" s="7"/>
      <c r="I172" s="7"/>
      <c r="J172" s="7"/>
    </row>
    <row r="173" spans="2:10" x14ac:dyDescent="0.15">
      <c r="B173"/>
      <c r="C173"/>
      <c r="D173"/>
      <c r="E173"/>
      <c r="F173" s="7"/>
      <c r="G173" s="7"/>
      <c r="H173" s="7"/>
      <c r="I173" s="7"/>
      <c r="J173" s="7"/>
    </row>
    <row r="174" spans="2:10" x14ac:dyDescent="0.15">
      <c r="B174"/>
      <c r="C174"/>
      <c r="D174"/>
      <c r="E174"/>
      <c r="F174" s="7"/>
      <c r="G174" s="7"/>
      <c r="H174" s="7"/>
      <c r="I174" s="7"/>
      <c r="J174" s="7"/>
    </row>
    <row r="175" spans="2:10" x14ac:dyDescent="0.15">
      <c r="B175"/>
      <c r="C175"/>
      <c r="D175"/>
      <c r="E175"/>
      <c r="F175" s="7"/>
      <c r="G175" s="7"/>
      <c r="H175" s="7"/>
      <c r="I175" s="7"/>
      <c r="J175" s="7"/>
    </row>
    <row r="176" spans="2:10" x14ac:dyDescent="0.15">
      <c r="B176"/>
      <c r="C176"/>
      <c r="D176"/>
      <c r="E176"/>
      <c r="F176" s="7"/>
      <c r="G176" s="7"/>
      <c r="H176" s="7"/>
      <c r="I176" s="7"/>
      <c r="J176" s="7"/>
    </row>
    <row r="177" spans="2:10" x14ac:dyDescent="0.15">
      <c r="B177"/>
      <c r="C177"/>
      <c r="D177"/>
      <c r="E177"/>
      <c r="F177" s="7"/>
      <c r="G177" s="7"/>
      <c r="H177" s="7"/>
      <c r="I177" s="7"/>
      <c r="J177" s="7"/>
    </row>
    <row r="178" spans="2:10" x14ac:dyDescent="0.15">
      <c r="B178"/>
      <c r="C178"/>
      <c r="D178"/>
      <c r="E178"/>
      <c r="F178" s="7"/>
      <c r="G178" s="7"/>
      <c r="H178" s="7"/>
      <c r="I178" s="7"/>
      <c r="J178" s="7"/>
    </row>
    <row r="179" spans="2:10" x14ac:dyDescent="0.15">
      <c r="B179"/>
      <c r="C179"/>
      <c r="D179"/>
      <c r="E179"/>
      <c r="F179" s="7"/>
      <c r="G179" s="7"/>
      <c r="H179" s="7"/>
      <c r="I179" s="7"/>
      <c r="J179" s="7"/>
    </row>
    <row r="180" spans="2:10" x14ac:dyDescent="0.15">
      <c r="B180"/>
      <c r="C180"/>
      <c r="D180"/>
      <c r="E180"/>
      <c r="F180" s="7"/>
      <c r="G180" s="7"/>
      <c r="H180" s="7"/>
      <c r="I180" s="7"/>
      <c r="J180" s="7"/>
    </row>
    <row r="181" spans="2:10" x14ac:dyDescent="0.15">
      <c r="B181"/>
      <c r="C181"/>
      <c r="D181"/>
      <c r="E181"/>
      <c r="F181" s="7"/>
      <c r="G181" s="7"/>
      <c r="H181" s="7"/>
      <c r="I181" s="7"/>
      <c r="J181" s="7"/>
    </row>
    <row r="182" spans="2:10" x14ac:dyDescent="0.15">
      <c r="B182"/>
      <c r="C182"/>
      <c r="D182"/>
      <c r="E182"/>
      <c r="F182" s="7"/>
      <c r="G182" s="7"/>
      <c r="H182" s="7"/>
      <c r="I182" s="7"/>
      <c r="J182" s="7"/>
    </row>
    <row r="183" spans="2:10" x14ac:dyDescent="0.15">
      <c r="B183"/>
      <c r="C183"/>
      <c r="D183"/>
      <c r="E183"/>
      <c r="F183" s="7"/>
      <c r="G183" s="7"/>
      <c r="H183" s="7"/>
      <c r="I183" s="7"/>
      <c r="J183" s="7"/>
    </row>
    <row r="184" spans="2:10" x14ac:dyDescent="0.15">
      <c r="B184"/>
      <c r="C184"/>
      <c r="D184"/>
      <c r="E184"/>
      <c r="F184" s="7"/>
      <c r="G184" s="7"/>
      <c r="H184" s="7"/>
      <c r="I184" s="7"/>
      <c r="J184" s="7"/>
    </row>
    <row r="185" spans="2:10" x14ac:dyDescent="0.15">
      <c r="B185"/>
      <c r="C185"/>
      <c r="D185"/>
      <c r="E185"/>
      <c r="F185" s="7"/>
      <c r="G185" s="7"/>
      <c r="H185" s="7"/>
      <c r="I185" s="7"/>
      <c r="J185" s="7"/>
    </row>
    <row r="186" spans="2:10" x14ac:dyDescent="0.15">
      <c r="B186"/>
      <c r="C186"/>
      <c r="D186"/>
      <c r="E186"/>
      <c r="F186" s="7"/>
      <c r="G186" s="7"/>
      <c r="H186" s="7"/>
      <c r="I186" s="7"/>
      <c r="J186" s="7"/>
    </row>
    <row r="187" spans="2:10" x14ac:dyDescent="0.15">
      <c r="B187"/>
      <c r="C187"/>
      <c r="D187"/>
      <c r="E187"/>
      <c r="F187" s="7"/>
      <c r="G187" s="7"/>
      <c r="H187" s="7"/>
      <c r="I187" s="7"/>
      <c r="J187" s="7"/>
    </row>
    <row r="188" spans="2:10" x14ac:dyDescent="0.15">
      <c r="B188"/>
      <c r="C188"/>
      <c r="D188"/>
      <c r="E188"/>
      <c r="F188" s="7"/>
      <c r="G188" s="7"/>
      <c r="H188" s="7"/>
      <c r="I188" s="7"/>
      <c r="J188" s="7"/>
    </row>
    <row r="189" spans="2:10" x14ac:dyDescent="0.15">
      <c r="B189"/>
      <c r="C189"/>
      <c r="D189"/>
      <c r="E189"/>
      <c r="F189" s="7"/>
      <c r="G189" s="7"/>
      <c r="H189" s="7"/>
      <c r="I189" s="7"/>
      <c r="J189" s="7"/>
    </row>
    <row r="190" spans="2:10" x14ac:dyDescent="0.15">
      <c r="B190"/>
      <c r="C190"/>
      <c r="D190"/>
      <c r="E190"/>
      <c r="F190" s="7"/>
      <c r="G190" s="7"/>
      <c r="H190" s="7"/>
      <c r="I190" s="7"/>
      <c r="J190" s="7"/>
    </row>
    <row r="191" spans="2:10" x14ac:dyDescent="0.15">
      <c r="B191"/>
      <c r="C191"/>
      <c r="D191"/>
      <c r="E191"/>
      <c r="F191" s="7"/>
      <c r="G191" s="7"/>
      <c r="H191" s="7"/>
      <c r="I191" s="7"/>
      <c r="J191" s="7"/>
    </row>
    <row r="192" spans="2:10" x14ac:dyDescent="0.15">
      <c r="B192"/>
      <c r="C192"/>
      <c r="D192"/>
      <c r="E192"/>
      <c r="F192" s="7"/>
      <c r="G192" s="7"/>
      <c r="H192" s="7"/>
      <c r="I192" s="7"/>
      <c r="J192" s="7"/>
    </row>
    <row r="193" spans="2:10" x14ac:dyDescent="0.15">
      <c r="B193"/>
      <c r="C193"/>
      <c r="D193"/>
      <c r="E193"/>
      <c r="F193" s="7"/>
      <c r="G193" s="7"/>
      <c r="H193" s="7"/>
      <c r="I193" s="7"/>
      <c r="J193" s="7"/>
    </row>
    <row r="194" spans="2:10" x14ac:dyDescent="0.15">
      <c r="B194"/>
      <c r="C194"/>
      <c r="D194"/>
      <c r="E194"/>
      <c r="F194" s="7"/>
      <c r="G194" s="7"/>
      <c r="H194" s="7"/>
      <c r="I194" s="7"/>
      <c r="J194" s="7"/>
    </row>
    <row r="195" spans="2:10" x14ac:dyDescent="0.15">
      <c r="B195"/>
      <c r="C195"/>
      <c r="D195"/>
      <c r="E195"/>
      <c r="F195" s="7"/>
      <c r="G195" s="7"/>
      <c r="H195" s="7"/>
      <c r="I195" s="7"/>
      <c r="J195" s="7"/>
    </row>
    <row r="196" spans="2:10" x14ac:dyDescent="0.15">
      <c r="B196"/>
      <c r="C196"/>
      <c r="D196"/>
      <c r="E196"/>
      <c r="F196" s="7"/>
      <c r="G196" s="7"/>
      <c r="H196" s="7"/>
      <c r="I196" s="7"/>
      <c r="J196" s="7"/>
    </row>
    <row r="197" spans="2:10" x14ac:dyDescent="0.15">
      <c r="B197"/>
      <c r="C197"/>
      <c r="D197"/>
      <c r="E197"/>
      <c r="F197" s="7"/>
      <c r="G197" s="7"/>
      <c r="H197" s="7"/>
      <c r="I197" s="7"/>
      <c r="J197" s="7"/>
    </row>
    <row r="198" spans="2:10" x14ac:dyDescent="0.15">
      <c r="B198"/>
      <c r="C198"/>
      <c r="D198"/>
      <c r="E198"/>
      <c r="F198" s="7"/>
      <c r="G198" s="7"/>
      <c r="H198" s="7"/>
      <c r="I198" s="7"/>
      <c r="J198" s="7"/>
    </row>
    <row r="199" spans="2:10" x14ac:dyDescent="0.15">
      <c r="B199"/>
      <c r="C199"/>
      <c r="D199"/>
      <c r="E199"/>
      <c r="F199" s="7"/>
      <c r="G199" s="7"/>
      <c r="H199" s="7"/>
      <c r="I199" s="7"/>
      <c r="J199" s="7"/>
    </row>
    <row r="200" spans="2:10" x14ac:dyDescent="0.15">
      <c r="B200"/>
      <c r="C200"/>
      <c r="D200"/>
      <c r="E200"/>
      <c r="F200" s="7"/>
      <c r="G200" s="7"/>
      <c r="H200" s="7"/>
      <c r="I200" s="7"/>
      <c r="J200" s="7"/>
    </row>
    <row r="201" spans="2:10" x14ac:dyDescent="0.15">
      <c r="B201"/>
      <c r="C201"/>
      <c r="D201"/>
      <c r="E201"/>
      <c r="F201" s="7"/>
      <c r="G201" s="7"/>
      <c r="H201" s="7"/>
      <c r="I201" s="7"/>
      <c r="J201" s="7"/>
    </row>
    <row r="202" spans="2:10" x14ac:dyDescent="0.15">
      <c r="B202"/>
      <c r="C202"/>
      <c r="D202"/>
      <c r="E202"/>
      <c r="F202" s="7"/>
      <c r="G202" s="7"/>
      <c r="H202" s="7"/>
      <c r="I202" s="7"/>
      <c r="J202" s="7"/>
    </row>
    <row r="203" spans="2:10" x14ac:dyDescent="0.15">
      <c r="B203"/>
      <c r="C203"/>
      <c r="D203"/>
      <c r="E203"/>
      <c r="F203" s="7"/>
      <c r="G203" s="7"/>
      <c r="H203" s="7"/>
      <c r="I203" s="7"/>
      <c r="J203" s="7"/>
    </row>
    <row r="204" spans="2:10" x14ac:dyDescent="0.15">
      <c r="B204"/>
      <c r="C204"/>
      <c r="D204"/>
      <c r="E204"/>
      <c r="F204" s="7"/>
      <c r="G204" s="7"/>
      <c r="H204" s="7"/>
      <c r="I204" s="7"/>
      <c r="J204" s="7"/>
    </row>
    <row r="205" spans="2:10" x14ac:dyDescent="0.15">
      <c r="B205"/>
      <c r="C205"/>
      <c r="D205"/>
      <c r="E205"/>
      <c r="F205" s="7"/>
      <c r="G205" s="7"/>
      <c r="H205" s="7"/>
      <c r="I205" s="7"/>
      <c r="J205" s="7"/>
    </row>
    <row r="206" spans="2:10" x14ac:dyDescent="0.15">
      <c r="B206"/>
      <c r="C206"/>
      <c r="D206"/>
      <c r="E206"/>
      <c r="F206" s="7"/>
      <c r="G206" s="7"/>
      <c r="H206" s="7"/>
      <c r="I206" s="7"/>
      <c r="J206" s="7"/>
    </row>
    <row r="207" spans="2:10" x14ac:dyDescent="0.15">
      <c r="B207"/>
      <c r="C207"/>
      <c r="D207"/>
      <c r="E207"/>
      <c r="F207" s="7"/>
      <c r="G207" s="7"/>
      <c r="H207" s="7"/>
      <c r="I207" s="7"/>
      <c r="J207" s="7"/>
    </row>
    <row r="208" spans="2:10" x14ac:dyDescent="0.15">
      <c r="B208"/>
      <c r="C208"/>
      <c r="D208"/>
      <c r="E208"/>
      <c r="F208" s="7"/>
      <c r="G208" s="7"/>
      <c r="H208" s="7"/>
      <c r="I208" s="7"/>
      <c r="J208" s="7"/>
    </row>
    <row r="209" spans="2:10" x14ac:dyDescent="0.15">
      <c r="B209"/>
      <c r="C209"/>
      <c r="D209"/>
      <c r="E209"/>
      <c r="F209" s="7"/>
      <c r="G209" s="7"/>
      <c r="H209" s="7"/>
      <c r="I209" s="7"/>
      <c r="J209" s="7"/>
    </row>
    <row r="210" spans="2:10" x14ac:dyDescent="0.15">
      <c r="B210"/>
      <c r="C210"/>
      <c r="D210"/>
      <c r="E210"/>
      <c r="F210" s="7"/>
      <c r="G210" s="7"/>
      <c r="H210" s="7"/>
      <c r="I210" s="7"/>
      <c r="J210" s="7"/>
    </row>
    <row r="211" spans="2:10" x14ac:dyDescent="0.15">
      <c r="B211"/>
      <c r="C211"/>
      <c r="D211"/>
      <c r="E211"/>
      <c r="F211" s="7"/>
      <c r="G211" s="7"/>
      <c r="H211" s="7"/>
      <c r="I211" s="7"/>
      <c r="J211" s="7"/>
    </row>
    <row r="212" spans="2:10" x14ac:dyDescent="0.15">
      <c r="B212"/>
      <c r="C212"/>
      <c r="D212"/>
      <c r="E212"/>
      <c r="F212" s="7"/>
      <c r="G212" s="7"/>
      <c r="H212" s="7"/>
      <c r="I212" s="7"/>
      <c r="J212" s="7"/>
    </row>
    <row r="213" spans="2:10" x14ac:dyDescent="0.15">
      <c r="B213"/>
      <c r="C213"/>
      <c r="D213"/>
      <c r="E213"/>
      <c r="F213" s="7"/>
      <c r="G213" s="7"/>
      <c r="H213" s="7"/>
      <c r="I213" s="7"/>
      <c r="J213" s="7"/>
    </row>
    <row r="214" spans="2:10" x14ac:dyDescent="0.15">
      <c r="B214"/>
      <c r="C214"/>
      <c r="D214"/>
      <c r="E214"/>
      <c r="F214" s="7"/>
      <c r="G214" s="7"/>
      <c r="H214" s="7"/>
      <c r="I214" s="7"/>
      <c r="J214" s="7"/>
    </row>
    <row r="215" spans="2:10" x14ac:dyDescent="0.15">
      <c r="B215"/>
      <c r="C215"/>
      <c r="D215"/>
      <c r="E215"/>
      <c r="F215" s="7"/>
      <c r="G215" s="7"/>
      <c r="H215" s="7"/>
      <c r="I215" s="7"/>
      <c r="J215" s="7"/>
    </row>
    <row r="216" spans="2:10" x14ac:dyDescent="0.15">
      <c r="B216"/>
      <c r="C216"/>
      <c r="D216"/>
      <c r="E216"/>
      <c r="F216" s="7"/>
      <c r="G216" s="7"/>
      <c r="H216" s="7"/>
      <c r="I216" s="7"/>
      <c r="J216" s="7"/>
    </row>
    <row r="217" spans="2:10" x14ac:dyDescent="0.15">
      <c r="B217"/>
      <c r="C217"/>
      <c r="D217"/>
      <c r="E217"/>
      <c r="F217" s="7"/>
      <c r="G217" s="7"/>
      <c r="H217" s="7"/>
      <c r="I217" s="7"/>
      <c r="J217" s="7"/>
    </row>
    <row r="218" spans="2:10" x14ac:dyDescent="0.15">
      <c r="B218"/>
      <c r="C218"/>
      <c r="D218"/>
      <c r="E218"/>
      <c r="F218" s="7"/>
      <c r="G218" s="7"/>
      <c r="H218" s="7"/>
      <c r="I218" s="7"/>
      <c r="J218" s="7"/>
    </row>
    <row r="219" spans="2:10" x14ac:dyDescent="0.15">
      <c r="B219"/>
      <c r="C219"/>
      <c r="D219"/>
      <c r="E219"/>
      <c r="F219" s="7"/>
      <c r="G219" s="7"/>
      <c r="H219" s="7"/>
      <c r="I219" s="7"/>
      <c r="J219" s="7"/>
    </row>
    <row r="220" spans="2:10" x14ac:dyDescent="0.15">
      <c r="B220"/>
      <c r="C220"/>
      <c r="D220"/>
      <c r="E220"/>
      <c r="F220" s="7"/>
      <c r="G220" s="7"/>
      <c r="H220" s="7"/>
      <c r="I220" s="7"/>
      <c r="J220" s="7"/>
    </row>
    <row r="221" spans="2:10" x14ac:dyDescent="0.15">
      <c r="B221"/>
      <c r="C221"/>
      <c r="D221"/>
      <c r="E221"/>
      <c r="F221" s="7"/>
      <c r="G221" s="7"/>
      <c r="H221" s="7"/>
      <c r="I221" s="7"/>
      <c r="J221" s="7"/>
    </row>
    <row r="222" spans="2:10" x14ac:dyDescent="0.15">
      <c r="B222"/>
      <c r="C222"/>
      <c r="D222"/>
      <c r="E222"/>
      <c r="F222" s="7"/>
      <c r="G222" s="7"/>
      <c r="H222" s="7"/>
      <c r="I222" s="7"/>
      <c r="J222" s="7"/>
    </row>
    <row r="223" spans="2:10" x14ac:dyDescent="0.15">
      <c r="B223"/>
      <c r="C223"/>
      <c r="D223"/>
      <c r="E223"/>
      <c r="F223" s="7"/>
      <c r="G223" s="7"/>
      <c r="H223" s="7"/>
      <c r="I223" s="7"/>
      <c r="J223" s="7"/>
    </row>
    <row r="224" spans="2:10" x14ac:dyDescent="0.15">
      <c r="B224"/>
      <c r="C224"/>
      <c r="D224"/>
      <c r="E224"/>
      <c r="F224" s="7"/>
      <c r="G224" s="7"/>
      <c r="H224" s="7"/>
      <c r="I224" s="7"/>
      <c r="J224" s="7"/>
    </row>
    <row r="225" spans="2:10" x14ac:dyDescent="0.15">
      <c r="B225"/>
      <c r="C225"/>
      <c r="D225"/>
      <c r="E225"/>
      <c r="F225" s="7"/>
      <c r="G225" s="7"/>
      <c r="H225" s="7"/>
      <c r="I225" s="7"/>
      <c r="J225" s="7"/>
    </row>
    <row r="226" spans="2:10" x14ac:dyDescent="0.15">
      <c r="B226"/>
      <c r="C226"/>
      <c r="D226"/>
      <c r="E226"/>
      <c r="F226" s="7"/>
      <c r="G226" s="7"/>
      <c r="H226" s="7"/>
      <c r="I226" s="7"/>
      <c r="J226" s="7"/>
    </row>
    <row r="227" spans="2:10" x14ac:dyDescent="0.15">
      <c r="B227"/>
      <c r="C227"/>
      <c r="D227"/>
      <c r="E227"/>
      <c r="F227" s="7"/>
      <c r="G227" s="7"/>
      <c r="H227" s="7"/>
      <c r="I227" s="7"/>
      <c r="J227" s="7"/>
    </row>
    <row r="228" spans="2:10" x14ac:dyDescent="0.15">
      <c r="B228"/>
      <c r="C228"/>
      <c r="D228"/>
      <c r="E228"/>
      <c r="F228" s="7"/>
      <c r="G228" s="7"/>
      <c r="H228" s="7"/>
      <c r="I228" s="7"/>
      <c r="J228" s="7"/>
    </row>
    <row r="229" spans="2:10" x14ac:dyDescent="0.15">
      <c r="B229"/>
      <c r="C229"/>
      <c r="D229"/>
      <c r="E229"/>
      <c r="F229" s="7"/>
      <c r="G229" s="7"/>
      <c r="H229" s="7"/>
      <c r="I229" s="7"/>
      <c r="J229" s="7"/>
    </row>
    <row r="230" spans="2:10" x14ac:dyDescent="0.15">
      <c r="B230"/>
      <c r="C230"/>
      <c r="D230"/>
      <c r="E230"/>
      <c r="F230" s="7"/>
      <c r="G230" s="7"/>
      <c r="H230" s="7"/>
      <c r="I230" s="7"/>
      <c r="J230" s="7"/>
    </row>
    <row r="231" spans="2:10" x14ac:dyDescent="0.15">
      <c r="B231"/>
      <c r="C231"/>
      <c r="D231"/>
      <c r="E231"/>
      <c r="F231" s="7"/>
      <c r="G231" s="7"/>
      <c r="H231" s="7"/>
      <c r="I231" s="7"/>
      <c r="J231" s="7"/>
    </row>
    <row r="232" spans="2:10" x14ac:dyDescent="0.15">
      <c r="B232"/>
      <c r="C232"/>
      <c r="D232"/>
      <c r="E232"/>
      <c r="F232" s="7"/>
      <c r="G232" s="7"/>
      <c r="H232" s="7"/>
      <c r="I232" s="7"/>
      <c r="J232" s="7"/>
    </row>
    <row r="233" spans="2:10" x14ac:dyDescent="0.15">
      <c r="B233"/>
      <c r="C233"/>
      <c r="D233"/>
      <c r="E233"/>
      <c r="F233" s="7"/>
      <c r="G233" s="7"/>
      <c r="H233" s="7"/>
      <c r="I233" s="7"/>
      <c r="J233" s="7"/>
    </row>
    <row r="234" spans="2:10" x14ac:dyDescent="0.15">
      <c r="B234"/>
      <c r="C234"/>
      <c r="D234"/>
      <c r="E234"/>
      <c r="F234" s="7"/>
      <c r="G234" s="7"/>
      <c r="H234" s="7"/>
      <c r="I234" s="7"/>
      <c r="J234" s="7"/>
    </row>
    <row r="235" spans="2:10" x14ac:dyDescent="0.15">
      <c r="B235"/>
      <c r="C235"/>
      <c r="D235"/>
      <c r="E235"/>
      <c r="F235" s="7"/>
      <c r="G235" s="7"/>
      <c r="H235" s="7"/>
      <c r="I235" s="7"/>
      <c r="J235" s="7"/>
    </row>
    <row r="236" spans="2:10" x14ac:dyDescent="0.15">
      <c r="B236"/>
      <c r="C236"/>
      <c r="D236"/>
      <c r="E236"/>
      <c r="F236" s="7"/>
      <c r="G236" s="7"/>
      <c r="H236" s="7"/>
      <c r="I236" s="7"/>
      <c r="J236" s="7"/>
    </row>
    <row r="237" spans="2:10" x14ac:dyDescent="0.15">
      <c r="B237"/>
      <c r="C237"/>
      <c r="D237"/>
      <c r="E237"/>
      <c r="F237" s="7"/>
      <c r="G237" s="7"/>
      <c r="H237" s="7"/>
      <c r="I237" s="7"/>
      <c r="J237" s="7"/>
    </row>
    <row r="238" spans="2:10" x14ac:dyDescent="0.15">
      <c r="B238"/>
      <c r="C238"/>
      <c r="D238"/>
      <c r="E238"/>
      <c r="F238" s="7"/>
      <c r="G238" s="7"/>
      <c r="H238" s="7"/>
      <c r="I238" s="7"/>
      <c r="J238" s="7"/>
    </row>
    <row r="239" spans="2:10" x14ac:dyDescent="0.15">
      <c r="B239"/>
      <c r="C239"/>
      <c r="D239"/>
      <c r="E239"/>
      <c r="F239" s="7"/>
      <c r="G239" s="7"/>
      <c r="H239" s="7"/>
      <c r="I239" s="7"/>
      <c r="J239" s="7"/>
    </row>
    <row r="240" spans="2:10" x14ac:dyDescent="0.15">
      <c r="B240"/>
      <c r="C240"/>
      <c r="D240"/>
      <c r="E240"/>
      <c r="F240" s="7"/>
      <c r="G240" s="7"/>
      <c r="H240" s="7"/>
      <c r="I240" s="7"/>
      <c r="J240" s="7"/>
    </row>
    <row r="241" spans="2:10" x14ac:dyDescent="0.15">
      <c r="B241"/>
      <c r="C241"/>
      <c r="D241"/>
      <c r="E241"/>
      <c r="F241" s="7"/>
      <c r="G241" s="7"/>
      <c r="H241" s="7"/>
      <c r="I241" s="7"/>
      <c r="J241" s="7"/>
    </row>
    <row r="242" spans="2:10" x14ac:dyDescent="0.15">
      <c r="B242"/>
      <c r="C242"/>
      <c r="D242"/>
      <c r="E242"/>
      <c r="F242" s="7"/>
      <c r="G242" s="7"/>
      <c r="H242" s="7"/>
      <c r="I242" s="7"/>
      <c r="J242" s="7"/>
    </row>
    <row r="243" spans="2:10" x14ac:dyDescent="0.15">
      <c r="B243"/>
      <c r="C243"/>
      <c r="D243"/>
      <c r="E243"/>
      <c r="F243" s="7"/>
      <c r="G243" s="7"/>
      <c r="H243" s="7"/>
      <c r="I243" s="7"/>
      <c r="J243" s="7"/>
    </row>
    <row r="244" spans="2:10" x14ac:dyDescent="0.15">
      <c r="B244"/>
      <c r="C244"/>
      <c r="D244"/>
      <c r="E244"/>
      <c r="F244" s="7"/>
      <c r="G244" s="7"/>
      <c r="H244" s="7"/>
      <c r="I244" s="7"/>
      <c r="J244" s="7"/>
    </row>
    <row r="245" spans="2:10" x14ac:dyDescent="0.15">
      <c r="B245"/>
      <c r="C245"/>
      <c r="D245"/>
      <c r="E245"/>
      <c r="F245" s="7"/>
      <c r="G245" s="7"/>
      <c r="H245" s="7"/>
      <c r="I245" s="7"/>
      <c r="J245" s="7"/>
    </row>
    <row r="246" spans="2:10" x14ac:dyDescent="0.15">
      <c r="B246"/>
      <c r="C246"/>
      <c r="D246"/>
      <c r="E246"/>
      <c r="F246" s="7"/>
      <c r="G246" s="7"/>
      <c r="H246" s="7"/>
      <c r="I246" s="7"/>
      <c r="J246" s="7"/>
    </row>
    <row r="247" spans="2:10" x14ac:dyDescent="0.15">
      <c r="B247"/>
      <c r="C247"/>
      <c r="D247"/>
      <c r="E247"/>
      <c r="F247" s="7"/>
      <c r="G247" s="7"/>
      <c r="H247" s="7"/>
      <c r="I247" s="7"/>
      <c r="J247" s="7"/>
    </row>
    <row r="248" spans="2:10" x14ac:dyDescent="0.15">
      <c r="B248"/>
      <c r="C248"/>
      <c r="D248"/>
      <c r="E248"/>
      <c r="F248" s="7"/>
      <c r="G248" s="7"/>
      <c r="H248" s="7"/>
      <c r="I248" s="7"/>
      <c r="J248" s="7"/>
    </row>
    <row r="249" spans="2:10" x14ac:dyDescent="0.15">
      <c r="B249"/>
      <c r="C249"/>
      <c r="D249"/>
      <c r="E249"/>
      <c r="F249" s="7"/>
      <c r="G249" s="7"/>
      <c r="H249" s="7"/>
      <c r="I249" s="7"/>
      <c r="J249" s="7"/>
    </row>
    <row r="250" spans="2:10" x14ac:dyDescent="0.15">
      <c r="B250"/>
      <c r="C250"/>
      <c r="D250"/>
      <c r="E250"/>
      <c r="F250" s="7"/>
      <c r="G250" s="7"/>
      <c r="H250" s="7"/>
      <c r="I250" s="7"/>
      <c r="J250" s="7"/>
    </row>
    <row r="251" spans="2:10" x14ac:dyDescent="0.15">
      <c r="B251"/>
      <c r="C251"/>
      <c r="D251"/>
      <c r="E251"/>
      <c r="F251" s="7"/>
      <c r="G251" s="7"/>
      <c r="H251" s="7"/>
      <c r="I251" s="7"/>
      <c r="J251" s="7"/>
    </row>
    <row r="252" spans="2:10" x14ac:dyDescent="0.15">
      <c r="B252"/>
      <c r="C252"/>
      <c r="D252"/>
      <c r="E252"/>
      <c r="F252" s="7"/>
      <c r="G252" s="7"/>
      <c r="H252" s="7"/>
      <c r="I252" s="7"/>
      <c r="J252" s="7"/>
    </row>
    <row r="253" spans="2:10" x14ac:dyDescent="0.15">
      <c r="B253"/>
      <c r="C253"/>
      <c r="D253"/>
      <c r="E253"/>
      <c r="F253" s="7"/>
      <c r="G253" s="7"/>
      <c r="H253" s="7"/>
      <c r="I253" s="7"/>
      <c r="J253" s="7"/>
    </row>
    <row r="254" spans="2:10" x14ac:dyDescent="0.15">
      <c r="B254"/>
      <c r="C254"/>
      <c r="D254"/>
      <c r="E254"/>
      <c r="F254" s="7"/>
      <c r="G254" s="7"/>
      <c r="H254" s="7"/>
      <c r="I254" s="7"/>
      <c r="J254" s="7"/>
    </row>
    <row r="255" spans="2:10" x14ac:dyDescent="0.15">
      <c r="B255"/>
      <c r="C255"/>
      <c r="D255"/>
      <c r="E255"/>
      <c r="F255" s="7"/>
      <c r="G255" s="7"/>
      <c r="H255" s="7"/>
      <c r="I255" s="7"/>
      <c r="J255" s="7"/>
    </row>
    <row r="256" spans="2:10" x14ac:dyDescent="0.15">
      <c r="B256"/>
      <c r="C256"/>
      <c r="D256"/>
      <c r="E256"/>
      <c r="F256" s="7"/>
      <c r="G256" s="7"/>
      <c r="H256" s="7"/>
      <c r="I256" s="7"/>
      <c r="J256" s="7"/>
    </row>
    <row r="257" spans="2:10" x14ac:dyDescent="0.15">
      <c r="B257"/>
      <c r="C257"/>
      <c r="D257"/>
      <c r="E257"/>
      <c r="F257" s="7"/>
      <c r="G257" s="7"/>
      <c r="H257" s="7"/>
      <c r="I257" s="7"/>
      <c r="J257" s="7"/>
    </row>
    <row r="258" spans="2:10" x14ac:dyDescent="0.15">
      <c r="B258"/>
      <c r="C258"/>
      <c r="D258"/>
      <c r="E258"/>
      <c r="F258" s="7"/>
      <c r="G258" s="7"/>
      <c r="H258" s="7"/>
      <c r="I258" s="7"/>
      <c r="J258" s="7"/>
    </row>
    <row r="259" spans="2:10" x14ac:dyDescent="0.15">
      <c r="B259"/>
      <c r="C259"/>
      <c r="D259"/>
      <c r="E259"/>
      <c r="F259" s="7"/>
      <c r="G259" s="7"/>
      <c r="H259" s="7"/>
      <c r="I259" s="7"/>
      <c r="J259" s="7"/>
    </row>
    <row r="260" spans="2:10" x14ac:dyDescent="0.15">
      <c r="B260"/>
      <c r="C260"/>
      <c r="D260"/>
      <c r="E260"/>
      <c r="F260" s="7"/>
      <c r="G260" s="7"/>
      <c r="H260" s="7"/>
      <c r="I260" s="7"/>
      <c r="J260" s="7"/>
    </row>
    <row r="261" spans="2:10" x14ac:dyDescent="0.15">
      <c r="B261"/>
      <c r="C261"/>
      <c r="D261"/>
      <c r="E261"/>
      <c r="F261" s="7"/>
      <c r="G261" s="7"/>
      <c r="H261" s="7"/>
      <c r="I261" s="7"/>
      <c r="J261" s="7"/>
    </row>
    <row r="262" spans="2:10" x14ac:dyDescent="0.15">
      <c r="B262"/>
      <c r="C262"/>
      <c r="D262"/>
      <c r="E262"/>
      <c r="F262" s="7"/>
      <c r="G262" s="7"/>
      <c r="H262" s="7"/>
      <c r="I262" s="7"/>
      <c r="J262" s="7"/>
    </row>
    <row r="263" spans="2:10" x14ac:dyDescent="0.15">
      <c r="B263"/>
      <c r="C263"/>
      <c r="D263"/>
      <c r="E263"/>
      <c r="F263" s="7"/>
      <c r="G263" s="7"/>
      <c r="H263" s="7"/>
      <c r="I263" s="7"/>
      <c r="J263" s="7"/>
    </row>
    <row r="264" spans="2:10" x14ac:dyDescent="0.15">
      <c r="B264"/>
      <c r="C264"/>
      <c r="D264"/>
      <c r="E264"/>
      <c r="F264" s="7"/>
      <c r="G264" s="7"/>
      <c r="H264" s="7"/>
      <c r="I264" s="7"/>
      <c r="J264" s="7"/>
    </row>
    <row r="265" spans="2:10" x14ac:dyDescent="0.15">
      <c r="B265"/>
      <c r="C265"/>
      <c r="D265"/>
      <c r="E265"/>
      <c r="F265" s="7"/>
      <c r="G265" s="7"/>
      <c r="H265" s="7"/>
      <c r="I265" s="7"/>
      <c r="J265" s="7"/>
    </row>
    <row r="266" spans="2:10" x14ac:dyDescent="0.15">
      <c r="B266"/>
      <c r="C266"/>
      <c r="D266"/>
      <c r="E266"/>
      <c r="F266" s="7"/>
      <c r="G266" s="7"/>
      <c r="H266" s="7"/>
      <c r="I266" s="7"/>
      <c r="J266" s="7"/>
    </row>
    <row r="267" spans="2:10" x14ac:dyDescent="0.15">
      <c r="B267"/>
      <c r="C267"/>
      <c r="D267"/>
      <c r="E267"/>
      <c r="F267" s="7"/>
      <c r="G267" s="7"/>
      <c r="H267" s="7"/>
      <c r="I267" s="7"/>
      <c r="J267" s="7"/>
    </row>
    <row r="268" spans="2:10" x14ac:dyDescent="0.15">
      <c r="B268"/>
      <c r="C268"/>
      <c r="D268"/>
      <c r="E268"/>
      <c r="F268" s="7"/>
      <c r="G268" s="7"/>
      <c r="H268" s="7"/>
      <c r="I268" s="7"/>
      <c r="J268" s="7"/>
    </row>
    <row r="269" spans="2:10" x14ac:dyDescent="0.15">
      <c r="B269"/>
      <c r="C269"/>
      <c r="D269"/>
      <c r="E269"/>
      <c r="F269" s="7"/>
      <c r="G269" s="7"/>
      <c r="H269" s="7"/>
      <c r="I269" s="7"/>
      <c r="J269" s="7"/>
    </row>
    <row r="270" spans="2:10" x14ac:dyDescent="0.15">
      <c r="B270"/>
      <c r="C270"/>
      <c r="D270"/>
      <c r="E270"/>
      <c r="F270" s="7"/>
      <c r="G270" s="7"/>
      <c r="H270" s="7"/>
      <c r="I270" s="7"/>
      <c r="J270" s="7"/>
    </row>
    <row r="271" spans="2:10" x14ac:dyDescent="0.15">
      <c r="B271"/>
      <c r="C271"/>
      <c r="D271"/>
      <c r="E271"/>
      <c r="F271" s="7"/>
      <c r="G271" s="7"/>
      <c r="H271" s="7"/>
      <c r="I271" s="7"/>
      <c r="J271" s="7"/>
    </row>
    <row r="272" spans="2:10" x14ac:dyDescent="0.15">
      <c r="B272"/>
      <c r="C272"/>
      <c r="D272"/>
      <c r="E272"/>
      <c r="F272" s="7"/>
      <c r="G272" s="7"/>
      <c r="H272" s="7"/>
      <c r="I272" s="7"/>
      <c r="J272" s="7"/>
    </row>
    <row r="273" spans="2:10" x14ac:dyDescent="0.15">
      <c r="B273"/>
      <c r="C273"/>
      <c r="D273"/>
      <c r="E273"/>
      <c r="F273" s="7"/>
      <c r="G273" s="7"/>
      <c r="H273" s="7"/>
      <c r="I273" s="7"/>
      <c r="J273" s="7"/>
    </row>
    <row r="274" spans="2:10" x14ac:dyDescent="0.15">
      <c r="B274"/>
      <c r="C274"/>
      <c r="D274"/>
      <c r="E274"/>
      <c r="F274" s="7"/>
      <c r="G274" s="7"/>
      <c r="H274" s="7"/>
      <c r="I274" s="7"/>
      <c r="J274" s="7"/>
    </row>
    <row r="275" spans="2:10" x14ac:dyDescent="0.15">
      <c r="B275"/>
      <c r="C275"/>
      <c r="D275"/>
      <c r="E275"/>
      <c r="F275" s="7"/>
      <c r="G275" s="7"/>
      <c r="H275" s="7"/>
      <c r="I275" s="7"/>
      <c r="J275" s="7"/>
    </row>
    <row r="276" spans="2:10" x14ac:dyDescent="0.15">
      <c r="B276"/>
      <c r="C276"/>
      <c r="D276"/>
      <c r="E276"/>
      <c r="F276" s="7"/>
      <c r="G276" s="7"/>
      <c r="H276" s="7"/>
      <c r="I276" s="7"/>
      <c r="J276" s="7"/>
    </row>
    <row r="277" spans="2:10" x14ac:dyDescent="0.15">
      <c r="B277"/>
      <c r="C277"/>
      <c r="D277"/>
      <c r="E277"/>
      <c r="F277" s="7"/>
      <c r="G277" s="7"/>
      <c r="H277" s="7"/>
      <c r="I277" s="7"/>
      <c r="J277" s="7"/>
    </row>
    <row r="278" spans="2:10" x14ac:dyDescent="0.15">
      <c r="B278"/>
      <c r="C278"/>
      <c r="D278"/>
      <c r="E278"/>
      <c r="F278" s="7"/>
      <c r="G278" s="7"/>
      <c r="H278" s="7"/>
      <c r="I278" s="7"/>
      <c r="J278" s="7"/>
    </row>
    <row r="279" spans="2:10" x14ac:dyDescent="0.15">
      <c r="B279"/>
      <c r="C279"/>
      <c r="D279"/>
      <c r="E279"/>
      <c r="F279" s="7"/>
      <c r="G279" s="7"/>
      <c r="H279" s="7"/>
      <c r="I279" s="7"/>
      <c r="J279" s="7"/>
    </row>
    <row r="280" spans="2:10" x14ac:dyDescent="0.15">
      <c r="B280"/>
      <c r="C280"/>
      <c r="D280"/>
      <c r="E280"/>
      <c r="F280" s="7"/>
      <c r="G280" s="7"/>
      <c r="H280" s="7"/>
      <c r="I280" s="7"/>
      <c r="J280" s="7"/>
    </row>
    <row r="281" spans="2:10" x14ac:dyDescent="0.15">
      <c r="B281"/>
      <c r="C281"/>
      <c r="D281"/>
      <c r="E281"/>
      <c r="F281" s="7"/>
      <c r="G281" s="7"/>
      <c r="H281" s="7"/>
      <c r="I281" s="7"/>
      <c r="J281" s="7"/>
    </row>
    <row r="282" spans="2:10" x14ac:dyDescent="0.15">
      <c r="B282"/>
      <c r="C282"/>
      <c r="D282"/>
      <c r="E282"/>
      <c r="F282" s="7"/>
      <c r="G282" s="7"/>
      <c r="H282" s="7"/>
      <c r="I282" s="7"/>
      <c r="J282" s="7"/>
    </row>
    <row r="283" spans="2:10" x14ac:dyDescent="0.15">
      <c r="B283"/>
      <c r="C283"/>
      <c r="D283"/>
      <c r="E283"/>
      <c r="F283" s="7"/>
      <c r="G283" s="7"/>
      <c r="H283" s="7"/>
      <c r="I283" s="7"/>
      <c r="J283" s="7"/>
    </row>
    <row r="284" spans="2:10" x14ac:dyDescent="0.15">
      <c r="B284"/>
      <c r="C284"/>
      <c r="D284"/>
      <c r="E284"/>
      <c r="F284" s="7"/>
      <c r="G284" s="7"/>
      <c r="H284" s="7"/>
      <c r="I284" s="7"/>
      <c r="J284" s="7"/>
    </row>
    <row r="285" spans="2:10" x14ac:dyDescent="0.15">
      <c r="B285"/>
      <c r="C285"/>
      <c r="D285"/>
      <c r="E285"/>
      <c r="F285" s="7"/>
      <c r="G285" s="7"/>
      <c r="H285" s="7"/>
      <c r="I285" s="7"/>
      <c r="J285" s="7"/>
    </row>
    <row r="286" spans="2:10" x14ac:dyDescent="0.15">
      <c r="B286"/>
      <c r="C286"/>
      <c r="D286"/>
      <c r="E286"/>
      <c r="F286" s="7"/>
      <c r="G286" s="7"/>
      <c r="H286" s="7"/>
      <c r="I286" s="7"/>
      <c r="J286" s="7"/>
    </row>
    <row r="287" spans="2:10" x14ac:dyDescent="0.15">
      <c r="B287"/>
      <c r="C287"/>
      <c r="D287"/>
      <c r="E287"/>
      <c r="F287" s="7"/>
      <c r="G287" s="7"/>
      <c r="H287" s="7"/>
      <c r="I287" s="7"/>
      <c r="J287" s="7"/>
    </row>
    <row r="288" spans="2:10" x14ac:dyDescent="0.15">
      <c r="B288"/>
      <c r="C288"/>
      <c r="D288"/>
      <c r="E288"/>
      <c r="F288" s="7"/>
      <c r="G288" s="7"/>
      <c r="H288" s="7"/>
      <c r="I288" s="7"/>
      <c r="J288" s="7"/>
    </row>
    <row r="289" spans="2:10" x14ac:dyDescent="0.15">
      <c r="B289"/>
      <c r="C289"/>
      <c r="D289"/>
      <c r="E289"/>
      <c r="F289" s="7"/>
      <c r="G289" s="7"/>
      <c r="H289" s="7"/>
      <c r="I289" s="7"/>
      <c r="J289" s="7"/>
    </row>
    <row r="290" spans="2:10" x14ac:dyDescent="0.15">
      <c r="B290"/>
      <c r="C290"/>
      <c r="D290"/>
      <c r="E290"/>
      <c r="F290" s="7"/>
      <c r="G290" s="7"/>
      <c r="H290" s="7"/>
      <c r="I290" s="7"/>
      <c r="J290" s="7"/>
    </row>
    <row r="291" spans="2:10" x14ac:dyDescent="0.15">
      <c r="B291"/>
      <c r="C291"/>
      <c r="D291"/>
      <c r="E291"/>
      <c r="F291" s="7"/>
      <c r="G291" s="7"/>
      <c r="H291" s="7"/>
      <c r="I291" s="7"/>
      <c r="J291" s="7"/>
    </row>
    <row r="292" spans="2:10" x14ac:dyDescent="0.15">
      <c r="B292"/>
      <c r="C292"/>
      <c r="D292"/>
      <c r="E292"/>
      <c r="F292" s="7"/>
      <c r="G292" s="7"/>
      <c r="H292" s="7"/>
      <c r="I292" s="7"/>
      <c r="J292" s="7"/>
    </row>
    <row r="293" spans="2:10" x14ac:dyDescent="0.15">
      <c r="B293"/>
      <c r="C293"/>
      <c r="D293"/>
      <c r="E293"/>
      <c r="F293" s="7"/>
      <c r="G293" s="7"/>
      <c r="H293" s="7"/>
      <c r="I293" s="7"/>
      <c r="J293" s="7"/>
    </row>
    <row r="294" spans="2:10" x14ac:dyDescent="0.15">
      <c r="B294"/>
      <c r="C294"/>
      <c r="D294"/>
      <c r="E294"/>
      <c r="F294" s="7"/>
      <c r="G294" s="7"/>
      <c r="H294" s="7"/>
      <c r="I294" s="7"/>
      <c r="J294" s="7"/>
    </row>
    <row r="295" spans="2:10" x14ac:dyDescent="0.15">
      <c r="B295"/>
      <c r="C295"/>
      <c r="D295"/>
      <c r="E295"/>
      <c r="F295" s="7"/>
      <c r="G295" s="7"/>
      <c r="H295" s="7"/>
      <c r="I295" s="7"/>
      <c r="J295" s="7"/>
    </row>
    <row r="296" spans="2:10" x14ac:dyDescent="0.15">
      <c r="B296"/>
      <c r="C296"/>
      <c r="D296"/>
      <c r="E296"/>
      <c r="F296" s="7"/>
      <c r="G296" s="7"/>
      <c r="H296" s="7"/>
      <c r="I296" s="7"/>
      <c r="J296" s="7"/>
    </row>
    <row r="297" spans="2:10" x14ac:dyDescent="0.15">
      <c r="B297"/>
      <c r="C297"/>
      <c r="D297"/>
      <c r="E297"/>
      <c r="F297" s="7"/>
      <c r="G297" s="7"/>
      <c r="H297" s="7"/>
      <c r="I297" s="7"/>
      <c r="J297" s="7"/>
    </row>
    <row r="298" spans="2:10" x14ac:dyDescent="0.15">
      <c r="B298"/>
      <c r="C298"/>
      <c r="D298"/>
      <c r="E298"/>
      <c r="F298" s="7"/>
      <c r="G298" s="7"/>
      <c r="H298" s="7"/>
      <c r="I298" s="7"/>
      <c r="J298" s="7"/>
    </row>
    <row r="299" spans="2:10" x14ac:dyDescent="0.15">
      <c r="B299"/>
      <c r="C299"/>
      <c r="D299"/>
      <c r="E299"/>
      <c r="F299" s="7"/>
      <c r="G299" s="7"/>
      <c r="H299" s="7"/>
      <c r="I299" s="7"/>
      <c r="J299" s="7"/>
    </row>
    <row r="300" spans="2:10" x14ac:dyDescent="0.15">
      <c r="B300"/>
      <c r="C300"/>
      <c r="D300"/>
      <c r="E300"/>
      <c r="F300" s="7"/>
      <c r="G300" s="7"/>
      <c r="H300" s="7"/>
      <c r="I300" s="7"/>
      <c r="J300" s="7"/>
    </row>
    <row r="301" spans="2:10" x14ac:dyDescent="0.15">
      <c r="B301"/>
      <c r="C301"/>
      <c r="D301"/>
      <c r="E301"/>
      <c r="F301" s="7"/>
      <c r="G301" s="7"/>
      <c r="H301" s="7"/>
      <c r="I301" s="7"/>
      <c r="J301" s="7"/>
    </row>
    <row r="302" spans="2:10" x14ac:dyDescent="0.15">
      <c r="B302"/>
      <c r="C302"/>
      <c r="D302"/>
      <c r="E302"/>
      <c r="F302" s="7"/>
      <c r="G302" s="7"/>
      <c r="H302" s="7"/>
      <c r="I302" s="7"/>
      <c r="J302" s="7"/>
    </row>
    <row r="303" spans="2:10" x14ac:dyDescent="0.15">
      <c r="B303"/>
      <c r="C303"/>
      <c r="D303"/>
      <c r="E303"/>
      <c r="F303" s="7"/>
      <c r="G303" s="7"/>
      <c r="H303" s="7"/>
      <c r="I303" s="7"/>
      <c r="J303" s="7"/>
    </row>
    <row r="304" spans="2:10" x14ac:dyDescent="0.15">
      <c r="B304"/>
      <c r="C304"/>
      <c r="D304"/>
      <c r="E304"/>
      <c r="F304" s="7"/>
      <c r="G304" s="7"/>
      <c r="H304" s="7"/>
      <c r="I304" s="7"/>
      <c r="J304" s="7"/>
    </row>
    <row r="305" spans="2:10" x14ac:dyDescent="0.15">
      <c r="B305"/>
      <c r="C305"/>
      <c r="D305"/>
      <c r="E305"/>
      <c r="F305" s="7"/>
      <c r="G305" s="7"/>
      <c r="H305" s="7"/>
      <c r="I305" s="7"/>
      <c r="J305" s="7"/>
    </row>
    <row r="306" spans="2:10" x14ac:dyDescent="0.15">
      <c r="B306"/>
      <c r="C306"/>
      <c r="D306"/>
      <c r="E306"/>
      <c r="F306" s="7"/>
      <c r="G306" s="7"/>
      <c r="H306" s="7"/>
      <c r="I306" s="7"/>
      <c r="J306" s="7"/>
    </row>
    <row r="307" spans="2:10" x14ac:dyDescent="0.15">
      <c r="B307"/>
      <c r="C307"/>
      <c r="D307"/>
      <c r="E307"/>
      <c r="F307" s="7"/>
      <c r="G307" s="7"/>
      <c r="H307" s="7"/>
      <c r="I307" s="7"/>
      <c r="J307" s="7"/>
    </row>
    <row r="308" spans="2:10" x14ac:dyDescent="0.15">
      <c r="B308"/>
      <c r="C308"/>
      <c r="D308"/>
      <c r="E308"/>
      <c r="F308" s="7"/>
      <c r="G308" s="7"/>
      <c r="H308" s="7"/>
      <c r="I308" s="7"/>
      <c r="J308" s="7"/>
    </row>
    <row r="309" spans="2:10" x14ac:dyDescent="0.15">
      <c r="B309"/>
      <c r="C309"/>
      <c r="D309"/>
      <c r="E309"/>
      <c r="F309" s="7"/>
      <c r="G309" s="7"/>
      <c r="H309" s="7"/>
      <c r="I309" s="7"/>
      <c r="J309" s="7"/>
    </row>
    <row r="310" spans="2:10" x14ac:dyDescent="0.15">
      <c r="B310"/>
      <c r="C310"/>
      <c r="D310"/>
      <c r="E310"/>
      <c r="F310" s="7"/>
      <c r="G310" s="7"/>
      <c r="H310" s="7"/>
      <c r="I310" s="7"/>
      <c r="J310" s="7"/>
    </row>
    <row r="311" spans="2:10" x14ac:dyDescent="0.15">
      <c r="B311"/>
      <c r="C311"/>
      <c r="D311"/>
      <c r="E311"/>
      <c r="F311" s="7"/>
      <c r="G311" s="7"/>
      <c r="H311" s="7"/>
      <c r="I311" s="7"/>
      <c r="J311" s="7"/>
    </row>
    <row r="312" spans="2:10" x14ac:dyDescent="0.15">
      <c r="B312"/>
      <c r="C312"/>
      <c r="D312"/>
      <c r="E312"/>
      <c r="F312" s="7"/>
      <c r="G312" s="7"/>
      <c r="H312" s="7"/>
      <c r="I312" s="7"/>
      <c r="J312" s="7"/>
    </row>
    <row r="313" spans="2:10" x14ac:dyDescent="0.15">
      <c r="B313"/>
      <c r="C313"/>
      <c r="D313"/>
      <c r="E313"/>
      <c r="F313" s="7"/>
      <c r="G313" s="7"/>
      <c r="H313" s="7"/>
      <c r="I313" s="7"/>
      <c r="J313" s="7"/>
    </row>
    <row r="314" spans="2:10" x14ac:dyDescent="0.15">
      <c r="B314"/>
      <c r="C314"/>
      <c r="D314"/>
      <c r="E314"/>
      <c r="F314" s="7"/>
      <c r="G314" s="7"/>
      <c r="H314" s="7"/>
      <c r="I314" s="7"/>
      <c r="J314" s="7"/>
    </row>
    <row r="315" spans="2:10" x14ac:dyDescent="0.15">
      <c r="B315"/>
      <c r="C315"/>
      <c r="D315"/>
      <c r="E315"/>
      <c r="F315" s="7"/>
      <c r="G315" s="7"/>
      <c r="H315" s="7"/>
      <c r="I315" s="7"/>
      <c r="J315" s="7"/>
    </row>
    <row r="316" spans="2:10" x14ac:dyDescent="0.15">
      <c r="B316"/>
      <c r="C316"/>
      <c r="D316"/>
      <c r="E316"/>
      <c r="F316" s="7"/>
      <c r="G316" s="7"/>
      <c r="H316" s="7"/>
      <c r="I316" s="7"/>
      <c r="J316" s="7"/>
    </row>
    <row r="317" spans="2:10" x14ac:dyDescent="0.15">
      <c r="B317"/>
      <c r="C317"/>
      <c r="D317"/>
      <c r="E317"/>
      <c r="F317" s="7"/>
      <c r="G317" s="7"/>
      <c r="H317" s="7"/>
      <c r="I317" s="7"/>
      <c r="J317" s="7"/>
    </row>
    <row r="318" spans="2:10" x14ac:dyDescent="0.15">
      <c r="B318"/>
      <c r="C318"/>
      <c r="D318"/>
      <c r="E318"/>
      <c r="F318" s="7"/>
      <c r="G318" s="7"/>
      <c r="H318" s="7"/>
      <c r="I318" s="7"/>
      <c r="J318" s="7"/>
    </row>
    <row r="319" spans="2:10" x14ac:dyDescent="0.15">
      <c r="B319"/>
      <c r="C319"/>
      <c r="D319"/>
      <c r="E319"/>
      <c r="F319" s="7"/>
      <c r="G319" s="7"/>
      <c r="H319" s="7"/>
      <c r="I319" s="7"/>
      <c r="J319" s="7"/>
    </row>
    <row r="320" spans="2:10" x14ac:dyDescent="0.15">
      <c r="B320"/>
      <c r="C320"/>
      <c r="D320"/>
      <c r="E320"/>
      <c r="F320" s="7"/>
      <c r="G320" s="7"/>
      <c r="H320" s="7"/>
      <c r="I320" s="7"/>
      <c r="J320" s="7"/>
    </row>
    <row r="321" spans="2:10" x14ac:dyDescent="0.15">
      <c r="B321"/>
      <c r="C321"/>
      <c r="D321"/>
      <c r="E321"/>
      <c r="F321" s="7"/>
      <c r="G321" s="7"/>
      <c r="H321" s="7"/>
      <c r="I321" s="7"/>
      <c r="J321" s="7"/>
    </row>
    <row r="322" spans="2:10" x14ac:dyDescent="0.15">
      <c r="B322"/>
      <c r="C322"/>
      <c r="D322"/>
      <c r="E322"/>
      <c r="F322" s="7"/>
      <c r="G322" s="7"/>
      <c r="H322" s="7"/>
      <c r="I322" s="7"/>
      <c r="J322" s="7"/>
    </row>
    <row r="323" spans="2:10" x14ac:dyDescent="0.15">
      <c r="B323"/>
      <c r="C323"/>
      <c r="D323"/>
      <c r="E323"/>
      <c r="F323" s="7"/>
      <c r="G323" s="7"/>
      <c r="H323" s="7"/>
      <c r="I323" s="7"/>
      <c r="J323" s="7"/>
    </row>
    <row r="324" spans="2:10" x14ac:dyDescent="0.15">
      <c r="B324"/>
      <c r="C324"/>
      <c r="D324"/>
      <c r="E324"/>
      <c r="F324" s="7"/>
      <c r="G324" s="7"/>
      <c r="H324" s="7"/>
      <c r="I324" s="7"/>
      <c r="J324" s="7"/>
    </row>
    <row r="325" spans="2:10" x14ac:dyDescent="0.15">
      <c r="B325"/>
      <c r="C325"/>
      <c r="D325"/>
      <c r="E325"/>
      <c r="F325" s="7"/>
      <c r="G325" s="7"/>
      <c r="H325" s="7"/>
      <c r="I325" s="7"/>
      <c r="J325" s="7"/>
    </row>
    <row r="326" spans="2:10" x14ac:dyDescent="0.15">
      <c r="B326"/>
      <c r="C326"/>
      <c r="D326"/>
      <c r="E326"/>
      <c r="F326" s="7"/>
      <c r="G326" s="7"/>
      <c r="H326" s="7"/>
      <c r="I326" s="7"/>
      <c r="J326" s="7"/>
    </row>
    <row r="327" spans="2:10" x14ac:dyDescent="0.15">
      <c r="B327"/>
      <c r="C327"/>
      <c r="D327"/>
      <c r="E327"/>
      <c r="F327" s="7"/>
      <c r="G327" s="7"/>
      <c r="H327" s="7"/>
      <c r="I327" s="7"/>
      <c r="J327" s="7"/>
    </row>
    <row r="328" spans="2:10" x14ac:dyDescent="0.15">
      <c r="B328"/>
      <c r="C328"/>
      <c r="D328"/>
      <c r="E328"/>
      <c r="F328" s="7"/>
      <c r="G328" s="7"/>
      <c r="H328" s="7"/>
      <c r="I328" s="7"/>
      <c r="J328" s="7"/>
    </row>
    <row r="329" spans="2:10" x14ac:dyDescent="0.15">
      <c r="B329"/>
      <c r="C329"/>
      <c r="D329"/>
      <c r="E329"/>
      <c r="F329" s="7"/>
      <c r="G329" s="7"/>
      <c r="H329" s="7"/>
      <c r="I329" s="7"/>
      <c r="J329" s="7"/>
    </row>
    <row r="330" spans="2:10" x14ac:dyDescent="0.15">
      <c r="B330"/>
      <c r="C330"/>
      <c r="D330"/>
      <c r="E330"/>
      <c r="F330" s="7"/>
      <c r="G330" s="7"/>
      <c r="H330" s="7"/>
      <c r="I330" s="7"/>
      <c r="J330" s="7"/>
    </row>
    <row r="331" spans="2:10" x14ac:dyDescent="0.15">
      <c r="B331"/>
      <c r="C331"/>
      <c r="D331"/>
      <c r="E331"/>
      <c r="F331" s="7"/>
      <c r="G331" s="7"/>
      <c r="H331" s="7"/>
      <c r="I331" s="7"/>
      <c r="J331" s="7"/>
    </row>
    <row r="332" spans="2:10" x14ac:dyDescent="0.15">
      <c r="B332"/>
      <c r="C332"/>
      <c r="D332"/>
      <c r="E332"/>
      <c r="F332" s="7"/>
      <c r="G332" s="7"/>
      <c r="H332" s="7"/>
      <c r="I332" s="7"/>
      <c r="J332" s="7"/>
    </row>
    <row r="333" spans="2:10" x14ac:dyDescent="0.15">
      <c r="B333"/>
      <c r="C333"/>
      <c r="D333"/>
      <c r="E333"/>
      <c r="F333" s="7"/>
      <c r="G333" s="7"/>
      <c r="H333" s="7"/>
      <c r="I333" s="7"/>
      <c r="J333" s="7"/>
    </row>
    <row r="334" spans="2:10" x14ac:dyDescent="0.15">
      <c r="B334"/>
      <c r="C334"/>
      <c r="D334"/>
      <c r="E334"/>
      <c r="F334" s="7"/>
      <c r="G334" s="7"/>
      <c r="H334" s="7"/>
      <c r="I334" s="7"/>
      <c r="J334" s="7"/>
    </row>
    <row r="335" spans="2:10" x14ac:dyDescent="0.15">
      <c r="B335"/>
      <c r="C335"/>
      <c r="D335"/>
      <c r="E335"/>
      <c r="F335" s="7"/>
      <c r="G335" s="7"/>
      <c r="H335" s="7"/>
      <c r="I335" s="7"/>
      <c r="J335" s="7"/>
    </row>
    <row r="336" spans="2:10" x14ac:dyDescent="0.15">
      <c r="B336"/>
      <c r="C336"/>
      <c r="D336"/>
      <c r="E336"/>
      <c r="F336" s="7"/>
      <c r="G336" s="7"/>
      <c r="H336" s="7"/>
      <c r="I336" s="7"/>
      <c r="J336" s="7"/>
    </row>
    <row r="337" spans="2:10" x14ac:dyDescent="0.15">
      <c r="B337"/>
      <c r="C337"/>
      <c r="D337"/>
      <c r="E337"/>
      <c r="F337" s="7"/>
      <c r="G337" s="7"/>
      <c r="H337" s="7"/>
      <c r="I337" s="7"/>
      <c r="J337" s="7"/>
    </row>
    <row r="338" spans="2:10" x14ac:dyDescent="0.15">
      <c r="B338"/>
      <c r="C338"/>
      <c r="D338"/>
      <c r="E338"/>
      <c r="F338" s="7"/>
      <c r="G338" s="7"/>
      <c r="H338" s="7"/>
      <c r="I338" s="7"/>
      <c r="J338" s="7"/>
    </row>
    <row r="339" spans="2:10" x14ac:dyDescent="0.15">
      <c r="B339"/>
      <c r="C339"/>
      <c r="D339"/>
      <c r="E339"/>
      <c r="F339" s="7"/>
      <c r="G339" s="7"/>
      <c r="H339" s="7"/>
      <c r="I339" s="7"/>
      <c r="J339" s="7"/>
    </row>
    <row r="340" spans="2:10" x14ac:dyDescent="0.15">
      <c r="B340"/>
      <c r="C340"/>
      <c r="D340"/>
      <c r="E340"/>
      <c r="F340" s="7"/>
      <c r="G340" s="7"/>
      <c r="H340" s="7"/>
      <c r="I340" s="7"/>
      <c r="J340" s="7"/>
    </row>
    <row r="341" spans="2:10" x14ac:dyDescent="0.15">
      <c r="B341"/>
      <c r="C341"/>
      <c r="D341"/>
      <c r="E341"/>
      <c r="F341" s="7"/>
      <c r="G341" s="7"/>
      <c r="H341" s="7"/>
      <c r="I341" s="7"/>
      <c r="J341" s="7"/>
    </row>
    <row r="342" spans="2:10" x14ac:dyDescent="0.15">
      <c r="B342"/>
      <c r="C342"/>
      <c r="D342"/>
      <c r="E342"/>
      <c r="F342" s="7"/>
      <c r="G342" s="7"/>
      <c r="H342" s="7"/>
      <c r="I342" s="7"/>
      <c r="J342" s="7"/>
    </row>
    <row r="343" spans="2:10" x14ac:dyDescent="0.15">
      <c r="B343"/>
      <c r="C343"/>
      <c r="D343"/>
      <c r="E343"/>
      <c r="F343" s="7"/>
      <c r="G343" s="7"/>
      <c r="H343" s="7"/>
      <c r="I343" s="7"/>
      <c r="J343" s="7"/>
    </row>
    <row r="344" spans="2:10" x14ac:dyDescent="0.15">
      <c r="B344"/>
      <c r="C344"/>
      <c r="D344"/>
      <c r="E344"/>
      <c r="F344" s="7"/>
      <c r="G344" s="7"/>
      <c r="H344" s="7"/>
      <c r="I344" s="7"/>
      <c r="J344" s="7"/>
    </row>
    <row r="345" spans="2:10" x14ac:dyDescent="0.15">
      <c r="B345"/>
      <c r="C345"/>
      <c r="D345"/>
      <c r="E345"/>
      <c r="F345" s="7"/>
      <c r="G345" s="7"/>
      <c r="H345" s="7"/>
      <c r="I345" s="7"/>
      <c r="J345" s="7"/>
    </row>
    <row r="346" spans="2:10" x14ac:dyDescent="0.15">
      <c r="B346"/>
      <c r="C346"/>
      <c r="D346"/>
      <c r="E346"/>
      <c r="F346" s="7"/>
      <c r="G346" s="7"/>
      <c r="H346" s="7"/>
      <c r="I346" s="7"/>
      <c r="J346" s="7"/>
    </row>
    <row r="347" spans="2:10" x14ac:dyDescent="0.15">
      <c r="B347"/>
      <c r="C347"/>
      <c r="D347"/>
      <c r="E347"/>
      <c r="F347" s="7"/>
      <c r="G347" s="7"/>
      <c r="H347" s="7"/>
      <c r="I347" s="7"/>
      <c r="J347" s="7"/>
    </row>
    <row r="348" spans="2:10" x14ac:dyDescent="0.15">
      <c r="B348"/>
      <c r="C348"/>
      <c r="D348"/>
      <c r="E348"/>
      <c r="F348" s="7"/>
      <c r="G348" s="7"/>
      <c r="H348" s="7"/>
      <c r="I348" s="7"/>
      <c r="J348" s="7"/>
    </row>
    <row r="349" spans="2:10" x14ac:dyDescent="0.15">
      <c r="B349"/>
      <c r="C349"/>
      <c r="D349"/>
      <c r="E349"/>
      <c r="F349" s="7"/>
      <c r="G349" s="7"/>
      <c r="H349" s="7"/>
      <c r="I349" s="7"/>
      <c r="J349" s="7"/>
    </row>
    <row r="350" spans="2:10" x14ac:dyDescent="0.15">
      <c r="B350"/>
      <c r="C350"/>
      <c r="D350"/>
      <c r="E350"/>
      <c r="F350" s="7"/>
      <c r="G350" s="7"/>
      <c r="H350" s="7"/>
      <c r="I350" s="7"/>
      <c r="J350" s="7"/>
    </row>
    <row r="351" spans="2:10" x14ac:dyDescent="0.15">
      <c r="B351"/>
      <c r="C351"/>
      <c r="D351"/>
      <c r="E351"/>
      <c r="F351" s="7"/>
      <c r="G351" s="7"/>
      <c r="H351" s="7"/>
      <c r="I351" s="7"/>
      <c r="J351" s="7"/>
    </row>
    <row r="352" spans="2:10" x14ac:dyDescent="0.15">
      <c r="B352"/>
      <c r="C352"/>
      <c r="D352"/>
      <c r="E352"/>
      <c r="F352" s="7"/>
      <c r="G352" s="7"/>
      <c r="H352" s="7"/>
      <c r="I352" s="7"/>
      <c r="J352" s="7"/>
    </row>
    <row r="353" spans="2:10" x14ac:dyDescent="0.15">
      <c r="B353"/>
      <c r="C353"/>
      <c r="D353"/>
      <c r="E353"/>
      <c r="F353" s="7"/>
      <c r="G353" s="7"/>
      <c r="H353" s="7"/>
      <c r="I353" s="7"/>
      <c r="J353" s="7"/>
    </row>
    <row r="354" spans="2:10" x14ac:dyDescent="0.15">
      <c r="B354"/>
      <c r="C354"/>
      <c r="D354"/>
      <c r="E354"/>
      <c r="F354" s="7"/>
      <c r="G354" s="7"/>
      <c r="H354" s="7"/>
      <c r="I354" s="7"/>
      <c r="J354" s="7"/>
    </row>
    <row r="355" spans="2:10" x14ac:dyDescent="0.15">
      <c r="B355"/>
      <c r="C355"/>
      <c r="D355"/>
      <c r="E355"/>
      <c r="F355" s="7"/>
      <c r="G355" s="7"/>
      <c r="H355" s="7"/>
      <c r="I355" s="7"/>
      <c r="J355" s="7"/>
    </row>
    <row r="356" spans="2:10" x14ac:dyDescent="0.15">
      <c r="B356"/>
      <c r="C356"/>
      <c r="D356"/>
      <c r="E356"/>
      <c r="F356" s="7"/>
      <c r="G356" s="7"/>
      <c r="H356" s="7"/>
      <c r="I356" s="7"/>
      <c r="J356" s="7"/>
    </row>
    <row r="357" spans="2:10" x14ac:dyDescent="0.15">
      <c r="B357"/>
      <c r="C357"/>
      <c r="D357"/>
      <c r="E357"/>
      <c r="F357" s="7"/>
      <c r="G357" s="7"/>
      <c r="H357" s="7"/>
      <c r="I357" s="7"/>
      <c r="J357" s="7"/>
    </row>
    <row r="358" spans="2:10" x14ac:dyDescent="0.15">
      <c r="B358"/>
      <c r="C358"/>
      <c r="D358"/>
      <c r="E358"/>
      <c r="F358" s="7"/>
      <c r="G358" s="7"/>
      <c r="H358" s="7"/>
      <c r="I358" s="7"/>
      <c r="J358" s="7"/>
    </row>
    <row r="359" spans="2:10" x14ac:dyDescent="0.15">
      <c r="B359"/>
      <c r="C359"/>
      <c r="D359"/>
      <c r="E359"/>
      <c r="F359" s="7"/>
      <c r="G359" s="7"/>
      <c r="H359" s="7"/>
      <c r="I359" s="7"/>
      <c r="J359" s="7"/>
    </row>
    <row r="360" spans="2:10" x14ac:dyDescent="0.15">
      <c r="B360"/>
      <c r="C360"/>
      <c r="D360"/>
      <c r="E360"/>
      <c r="F360" s="7"/>
      <c r="G360" s="7"/>
      <c r="H360" s="7"/>
      <c r="I360" s="7"/>
      <c r="J360" s="7"/>
    </row>
    <row r="361" spans="2:10" x14ac:dyDescent="0.15">
      <c r="B361"/>
      <c r="C361"/>
      <c r="D361"/>
      <c r="E361"/>
      <c r="F361" s="7"/>
      <c r="G361" s="7"/>
      <c r="H361" s="7"/>
      <c r="I361" s="7"/>
      <c r="J361" s="7"/>
    </row>
    <row r="362" spans="2:10" x14ac:dyDescent="0.15">
      <c r="B362"/>
      <c r="C362"/>
      <c r="D362"/>
      <c r="E362"/>
      <c r="F362" s="7"/>
      <c r="G362" s="7"/>
      <c r="H362" s="7"/>
      <c r="I362" s="7"/>
      <c r="J362" s="7"/>
    </row>
    <row r="363" spans="2:10" x14ac:dyDescent="0.15">
      <c r="B363"/>
      <c r="C363"/>
      <c r="D363"/>
      <c r="E363"/>
      <c r="F363" s="7"/>
      <c r="G363" s="7"/>
      <c r="H363" s="7"/>
      <c r="I363" s="7"/>
      <c r="J363" s="7"/>
    </row>
    <row r="364" spans="2:10" x14ac:dyDescent="0.15">
      <c r="B364"/>
      <c r="C364"/>
      <c r="D364"/>
      <c r="E364"/>
      <c r="F364" s="7"/>
      <c r="G364" s="7"/>
      <c r="H364" s="7"/>
      <c r="I364" s="7"/>
      <c r="J364" s="7"/>
    </row>
    <row r="365" spans="2:10" x14ac:dyDescent="0.15">
      <c r="B365"/>
      <c r="C365"/>
      <c r="D365"/>
      <c r="E365"/>
      <c r="F365" s="7"/>
      <c r="G365" s="7"/>
      <c r="H365" s="7"/>
      <c r="I365" s="7"/>
      <c r="J365" s="7"/>
    </row>
    <row r="366" spans="2:10" x14ac:dyDescent="0.15">
      <c r="B366"/>
      <c r="C366"/>
      <c r="D366"/>
      <c r="E366"/>
      <c r="F366" s="7"/>
      <c r="G366" s="7"/>
      <c r="H366" s="7"/>
      <c r="I366" s="7"/>
      <c r="J366" s="7"/>
    </row>
    <row r="367" spans="2:10" x14ac:dyDescent="0.15">
      <c r="B367"/>
      <c r="C367"/>
      <c r="D367"/>
      <c r="E367"/>
      <c r="F367" s="7"/>
      <c r="G367" s="7"/>
      <c r="H367" s="7"/>
      <c r="I367" s="7"/>
      <c r="J367" s="7"/>
    </row>
    <row r="368" spans="2:10" x14ac:dyDescent="0.15">
      <c r="B368"/>
      <c r="C368"/>
      <c r="D368"/>
      <c r="E368"/>
      <c r="F368" s="7"/>
      <c r="G368" s="7"/>
      <c r="H368" s="7"/>
      <c r="I368" s="7"/>
      <c r="J368" s="7"/>
    </row>
    <row r="369" spans="2:10" x14ac:dyDescent="0.15">
      <c r="B369"/>
      <c r="C369"/>
      <c r="D369"/>
      <c r="E369"/>
      <c r="F369" s="7"/>
      <c r="G369" s="7"/>
      <c r="H369" s="7"/>
      <c r="I369" s="7"/>
      <c r="J369" s="7"/>
    </row>
    <row r="370" spans="2:10" x14ac:dyDescent="0.15">
      <c r="B370"/>
      <c r="C370"/>
      <c r="D370"/>
      <c r="E370"/>
      <c r="F370" s="7"/>
      <c r="G370" s="7"/>
      <c r="H370" s="7"/>
      <c r="I370" s="7"/>
      <c r="J370" s="7"/>
    </row>
    <row r="371" spans="2:10" x14ac:dyDescent="0.15">
      <c r="B371"/>
      <c r="C371"/>
      <c r="D371"/>
      <c r="E371"/>
      <c r="F371" s="7"/>
      <c r="G371" s="7"/>
      <c r="H371" s="7"/>
      <c r="I371" s="7"/>
      <c r="J371" s="7"/>
    </row>
    <row r="372" spans="2:10" x14ac:dyDescent="0.15">
      <c r="B372"/>
      <c r="C372"/>
      <c r="D372"/>
      <c r="E372"/>
      <c r="F372" s="7"/>
      <c r="G372" s="7"/>
      <c r="H372" s="7"/>
      <c r="I372" s="7"/>
      <c r="J372" s="7"/>
    </row>
    <row r="373" spans="2:10" x14ac:dyDescent="0.15">
      <c r="B373"/>
      <c r="C373"/>
      <c r="D373"/>
      <c r="E373"/>
      <c r="F373" s="7"/>
      <c r="G373" s="7"/>
      <c r="H373" s="7"/>
      <c r="I373" s="7"/>
      <c r="J373" s="7"/>
    </row>
    <row r="374" spans="2:10" x14ac:dyDescent="0.15">
      <c r="B374"/>
      <c r="C374"/>
      <c r="D374"/>
      <c r="E374"/>
      <c r="F374" s="7"/>
      <c r="G374" s="7"/>
      <c r="H374" s="7"/>
      <c r="I374" s="7"/>
      <c r="J374" s="7"/>
    </row>
    <row r="375" spans="2:10" x14ac:dyDescent="0.15">
      <c r="B375"/>
      <c r="C375"/>
      <c r="D375"/>
      <c r="E375"/>
      <c r="F375" s="7"/>
      <c r="G375" s="7"/>
      <c r="H375" s="7"/>
      <c r="I375" s="7"/>
      <c r="J375" s="7"/>
    </row>
    <row r="376" spans="2:10" x14ac:dyDescent="0.15">
      <c r="B376"/>
      <c r="C376"/>
      <c r="D376"/>
      <c r="E376"/>
      <c r="F376" s="7"/>
      <c r="G376" s="7"/>
      <c r="H376" s="7"/>
      <c r="I376" s="7"/>
      <c r="J376" s="7"/>
    </row>
    <row r="377" spans="2:10" x14ac:dyDescent="0.15">
      <c r="B377"/>
      <c r="C377"/>
      <c r="D377"/>
      <c r="E377"/>
      <c r="F377" s="7"/>
      <c r="G377" s="7"/>
      <c r="H377" s="7"/>
      <c r="I377" s="7"/>
      <c r="J377" s="7"/>
    </row>
    <row r="378" spans="2:10" x14ac:dyDescent="0.15">
      <c r="B378"/>
      <c r="C378"/>
      <c r="D378"/>
      <c r="E378"/>
      <c r="F378" s="7"/>
      <c r="G378" s="7"/>
      <c r="H378" s="7"/>
      <c r="I378" s="7"/>
      <c r="J378" s="7"/>
    </row>
    <row r="379" spans="2:10" x14ac:dyDescent="0.15">
      <c r="B379"/>
      <c r="C379"/>
      <c r="D379"/>
      <c r="E379"/>
      <c r="F379" s="7"/>
      <c r="G379" s="7"/>
      <c r="H379" s="7"/>
      <c r="I379" s="7"/>
      <c r="J379" s="7"/>
    </row>
    <row r="380" spans="2:10" x14ac:dyDescent="0.15">
      <c r="B380"/>
      <c r="C380"/>
      <c r="D380"/>
      <c r="E380"/>
      <c r="F380" s="7"/>
      <c r="G380" s="7"/>
      <c r="H380" s="7"/>
      <c r="I380" s="7"/>
      <c r="J380" s="7"/>
    </row>
    <row r="381" spans="2:10" x14ac:dyDescent="0.15">
      <c r="B381"/>
      <c r="C381"/>
      <c r="D381"/>
      <c r="E381"/>
      <c r="F381" s="7"/>
      <c r="G381" s="7"/>
      <c r="H381" s="7"/>
      <c r="I381" s="7"/>
      <c r="J381" s="7"/>
    </row>
    <row r="382" spans="2:10" x14ac:dyDescent="0.15">
      <c r="B382"/>
      <c r="C382"/>
      <c r="D382"/>
      <c r="E382"/>
      <c r="F382" s="7"/>
      <c r="G382" s="7"/>
      <c r="H382" s="7"/>
      <c r="I382" s="7"/>
      <c r="J382" s="7"/>
    </row>
    <row r="383" spans="2:10" x14ac:dyDescent="0.15">
      <c r="B383"/>
      <c r="C383"/>
      <c r="D383"/>
      <c r="E383"/>
      <c r="F383" s="7"/>
      <c r="G383" s="7"/>
      <c r="H383" s="7"/>
      <c r="I383" s="7"/>
      <c r="J383" s="7"/>
    </row>
    <row r="384" spans="2:10" x14ac:dyDescent="0.15">
      <c r="B384"/>
      <c r="C384"/>
      <c r="D384"/>
      <c r="E384"/>
      <c r="F384" s="7"/>
      <c r="G384" s="7"/>
      <c r="H384" s="7"/>
      <c r="I384" s="7"/>
      <c r="J384" s="7"/>
    </row>
    <row r="385" spans="2:10" x14ac:dyDescent="0.15">
      <c r="B385"/>
      <c r="C385"/>
      <c r="D385"/>
      <c r="E385"/>
      <c r="F385" s="7"/>
      <c r="G385" s="7"/>
      <c r="H385" s="7"/>
      <c r="I385" s="7"/>
      <c r="J385" s="7"/>
    </row>
    <row r="386" spans="2:10" x14ac:dyDescent="0.15">
      <c r="B386"/>
      <c r="C386"/>
      <c r="D386"/>
      <c r="E386"/>
      <c r="F386" s="7"/>
      <c r="G386" s="7"/>
      <c r="H386" s="7"/>
      <c r="I386" s="7"/>
      <c r="J386" s="7"/>
    </row>
    <row r="387" spans="2:10" x14ac:dyDescent="0.15">
      <c r="B387"/>
      <c r="C387"/>
      <c r="D387"/>
      <c r="E387"/>
      <c r="F387" s="7"/>
      <c r="G387" s="7"/>
      <c r="H387" s="7"/>
      <c r="I387" s="7"/>
      <c r="J387" s="7"/>
    </row>
    <row r="388" spans="2:10" x14ac:dyDescent="0.15">
      <c r="B388"/>
      <c r="C388"/>
      <c r="D388"/>
      <c r="E388"/>
      <c r="F388" s="7"/>
      <c r="G388" s="7"/>
      <c r="H388" s="7"/>
      <c r="I388" s="7"/>
      <c r="J388" s="7"/>
    </row>
    <row r="389" spans="2:10" x14ac:dyDescent="0.15">
      <c r="B389"/>
      <c r="C389"/>
      <c r="D389"/>
      <c r="E389"/>
      <c r="F389" s="7"/>
      <c r="G389" s="7"/>
      <c r="H389" s="7"/>
      <c r="I389" s="7"/>
      <c r="J389" s="7"/>
    </row>
    <row r="390" spans="2:10" x14ac:dyDescent="0.15">
      <c r="B390"/>
      <c r="C390"/>
      <c r="D390"/>
      <c r="E390"/>
      <c r="F390" s="7"/>
      <c r="G390" s="7"/>
      <c r="H390" s="7"/>
      <c r="I390" s="7"/>
      <c r="J390" s="7"/>
    </row>
    <row r="391" spans="2:10" x14ac:dyDescent="0.15">
      <c r="B391"/>
      <c r="C391"/>
      <c r="D391"/>
      <c r="E391"/>
      <c r="F391" s="7"/>
      <c r="G391" s="7"/>
      <c r="H391" s="7"/>
      <c r="I391" s="7"/>
      <c r="J391" s="7"/>
    </row>
    <row r="392" spans="2:10" x14ac:dyDescent="0.15">
      <c r="B392"/>
      <c r="C392"/>
      <c r="D392"/>
      <c r="E392"/>
      <c r="F392" s="7"/>
      <c r="G392" s="7"/>
      <c r="H392" s="7"/>
      <c r="I392" s="7"/>
      <c r="J392" s="7"/>
    </row>
    <row r="393" spans="2:10" x14ac:dyDescent="0.15">
      <c r="B393"/>
      <c r="C393"/>
      <c r="D393"/>
      <c r="E393"/>
      <c r="F393" s="7"/>
      <c r="G393" s="7"/>
      <c r="H393" s="7"/>
      <c r="I393" s="7"/>
      <c r="J393" s="7"/>
    </row>
    <row r="394" spans="2:10" x14ac:dyDescent="0.15">
      <c r="B394"/>
      <c r="C394"/>
      <c r="D394"/>
      <c r="E394"/>
      <c r="F394" s="7"/>
      <c r="G394" s="7"/>
      <c r="H394" s="7"/>
      <c r="I394" s="7"/>
      <c r="J394" s="7"/>
    </row>
    <row r="395" spans="2:10" x14ac:dyDescent="0.15">
      <c r="B395"/>
      <c r="C395"/>
      <c r="D395"/>
      <c r="E395"/>
      <c r="F395" s="7"/>
      <c r="G395" s="7"/>
      <c r="H395" s="7"/>
      <c r="I395" s="7"/>
      <c r="J395" s="7"/>
    </row>
    <row r="396" spans="2:10" x14ac:dyDescent="0.15">
      <c r="B396"/>
      <c r="C396"/>
      <c r="D396"/>
      <c r="E396"/>
      <c r="F396" s="7"/>
      <c r="G396" s="7"/>
      <c r="H396" s="7"/>
      <c r="I396" s="7"/>
      <c r="J396" s="7"/>
    </row>
    <row r="397" spans="2:10" x14ac:dyDescent="0.15">
      <c r="B397"/>
      <c r="C397"/>
      <c r="D397"/>
      <c r="E397"/>
      <c r="F397" s="7"/>
      <c r="G397" s="7"/>
      <c r="H397" s="7"/>
      <c r="I397" s="7"/>
      <c r="J397" s="7"/>
    </row>
    <row r="398" spans="2:10" x14ac:dyDescent="0.15">
      <c r="B398"/>
      <c r="C398"/>
      <c r="D398"/>
      <c r="E398"/>
      <c r="F398" s="7"/>
      <c r="G398" s="7"/>
      <c r="H398" s="7"/>
      <c r="I398" s="7"/>
      <c r="J398" s="7"/>
    </row>
    <row r="399" spans="2:10" x14ac:dyDescent="0.15">
      <c r="B399"/>
      <c r="C399"/>
      <c r="D399"/>
      <c r="E399"/>
      <c r="F399" s="7"/>
      <c r="G399" s="7"/>
      <c r="H399" s="7"/>
      <c r="I399" s="7"/>
      <c r="J399" s="7"/>
    </row>
    <row r="400" spans="2:10" x14ac:dyDescent="0.15">
      <c r="B400"/>
      <c r="C400"/>
      <c r="D400"/>
      <c r="E400"/>
      <c r="F400" s="7"/>
      <c r="G400" s="7"/>
      <c r="H400" s="7"/>
      <c r="I400" s="7"/>
      <c r="J400" s="7"/>
    </row>
    <row r="401" spans="2:10" x14ac:dyDescent="0.15">
      <c r="B401"/>
      <c r="C401"/>
      <c r="D401"/>
      <c r="E401"/>
      <c r="F401" s="7"/>
      <c r="G401" s="7"/>
      <c r="H401" s="7"/>
      <c r="I401" s="7"/>
      <c r="J401" s="7"/>
    </row>
    <row r="402" spans="2:10" x14ac:dyDescent="0.15">
      <c r="B402"/>
      <c r="C402"/>
      <c r="D402"/>
      <c r="E402"/>
      <c r="F402" s="7"/>
      <c r="G402" s="7"/>
      <c r="H402" s="7"/>
      <c r="I402" s="7"/>
      <c r="J402" s="7"/>
    </row>
    <row r="403" spans="2:10" x14ac:dyDescent="0.15">
      <c r="B403"/>
      <c r="C403"/>
      <c r="D403"/>
      <c r="E403"/>
      <c r="F403" s="7"/>
      <c r="G403" s="7"/>
      <c r="H403" s="7"/>
      <c r="I403" s="7"/>
      <c r="J403" s="7"/>
    </row>
    <row r="404" spans="2:10" x14ac:dyDescent="0.15">
      <c r="B404"/>
      <c r="C404"/>
      <c r="D404"/>
      <c r="E404"/>
      <c r="F404" s="7"/>
      <c r="G404" s="7"/>
      <c r="H404" s="7"/>
      <c r="I404" s="7"/>
      <c r="J404" s="7"/>
    </row>
    <row r="405" spans="2:10" x14ac:dyDescent="0.15">
      <c r="B405"/>
      <c r="C405"/>
      <c r="D405"/>
      <c r="E405"/>
      <c r="F405" s="7"/>
      <c r="G405" s="7"/>
      <c r="H405" s="7"/>
      <c r="I405" s="7"/>
      <c r="J405" s="7"/>
    </row>
    <row r="406" spans="2:10" x14ac:dyDescent="0.15">
      <c r="B406"/>
      <c r="C406"/>
      <c r="D406"/>
      <c r="E406"/>
      <c r="F406" s="7"/>
      <c r="G406" s="7"/>
      <c r="H406" s="7"/>
      <c r="I406" s="7"/>
      <c r="J406" s="7"/>
    </row>
    <row r="407" spans="2:10" x14ac:dyDescent="0.15">
      <c r="B407"/>
      <c r="C407"/>
      <c r="D407"/>
      <c r="E407"/>
      <c r="F407" s="7"/>
      <c r="G407" s="7"/>
      <c r="H407" s="7"/>
      <c r="I407" s="7"/>
      <c r="J407" s="7"/>
    </row>
    <row r="408" spans="2:10" x14ac:dyDescent="0.15">
      <c r="B408"/>
      <c r="C408"/>
      <c r="D408"/>
      <c r="E408"/>
      <c r="F408" s="7"/>
      <c r="G408" s="7"/>
      <c r="H408" s="7"/>
      <c r="I408" s="7"/>
      <c r="J408" s="7"/>
    </row>
    <row r="409" spans="2:10" x14ac:dyDescent="0.15">
      <c r="B409"/>
      <c r="C409"/>
      <c r="D409"/>
      <c r="E409"/>
      <c r="F409" s="7"/>
      <c r="G409" s="7"/>
      <c r="H409" s="7"/>
      <c r="I409" s="7"/>
      <c r="J409" s="7"/>
    </row>
    <row r="410" spans="2:10" x14ac:dyDescent="0.15">
      <c r="B410"/>
      <c r="C410"/>
      <c r="D410"/>
      <c r="E410"/>
      <c r="F410" s="7"/>
      <c r="G410" s="7"/>
      <c r="H410" s="7"/>
      <c r="I410" s="7"/>
      <c r="J410" s="7"/>
    </row>
    <row r="411" spans="2:10" x14ac:dyDescent="0.15">
      <c r="B411"/>
      <c r="C411"/>
      <c r="D411"/>
      <c r="E411"/>
      <c r="F411" s="7"/>
      <c r="G411" s="7"/>
      <c r="H411" s="7"/>
      <c r="I411" s="7"/>
      <c r="J411" s="7"/>
    </row>
    <row r="412" spans="2:10" x14ac:dyDescent="0.15">
      <c r="B412"/>
      <c r="C412"/>
      <c r="D412"/>
      <c r="E412"/>
      <c r="F412" s="7"/>
      <c r="G412" s="7"/>
      <c r="H412" s="7"/>
      <c r="I412" s="7"/>
      <c r="J412" s="7"/>
    </row>
    <row r="413" spans="2:10" x14ac:dyDescent="0.15">
      <c r="B413"/>
      <c r="C413"/>
      <c r="D413"/>
      <c r="E413"/>
      <c r="F413" s="7"/>
      <c r="G413" s="7"/>
      <c r="H413" s="7"/>
      <c r="I413" s="7"/>
      <c r="J413" s="7"/>
    </row>
    <row r="414" spans="2:10" x14ac:dyDescent="0.15">
      <c r="B414"/>
      <c r="C414"/>
      <c r="D414"/>
      <c r="E414"/>
      <c r="F414" s="7"/>
      <c r="G414" s="7"/>
      <c r="H414" s="7"/>
      <c r="I414" s="7"/>
      <c r="J414" s="7"/>
    </row>
    <row r="415" spans="2:10" x14ac:dyDescent="0.15">
      <c r="B415"/>
      <c r="C415"/>
      <c r="D415"/>
      <c r="E415"/>
      <c r="F415" s="7"/>
      <c r="G415" s="7"/>
      <c r="H415" s="7"/>
      <c r="I415" s="7"/>
      <c r="J415" s="7"/>
    </row>
    <row r="416" spans="2:10" x14ac:dyDescent="0.15">
      <c r="B416"/>
      <c r="C416"/>
      <c r="D416"/>
      <c r="E416"/>
      <c r="F416" s="7"/>
      <c r="G416" s="7"/>
      <c r="H416" s="7"/>
      <c r="I416" s="7"/>
      <c r="J416" s="7"/>
    </row>
    <row r="417" spans="2:10" x14ac:dyDescent="0.15">
      <c r="B417"/>
      <c r="C417"/>
      <c r="D417"/>
      <c r="E417"/>
      <c r="F417" s="7"/>
      <c r="G417" s="7"/>
      <c r="H417" s="7"/>
      <c r="I417" s="7"/>
      <c r="J417" s="7"/>
    </row>
    <row r="418" spans="2:10" x14ac:dyDescent="0.15">
      <c r="B418"/>
      <c r="C418"/>
      <c r="D418"/>
      <c r="E418"/>
      <c r="F418" s="7"/>
      <c r="G418" s="7"/>
      <c r="H418" s="7"/>
      <c r="I418" s="7"/>
      <c r="J418" s="7"/>
    </row>
    <row r="419" spans="2:10" x14ac:dyDescent="0.15">
      <c r="B419"/>
      <c r="C419"/>
      <c r="D419"/>
      <c r="E419"/>
      <c r="F419" s="7"/>
      <c r="G419" s="7"/>
      <c r="H419" s="7"/>
      <c r="I419" s="7"/>
      <c r="J419" s="7"/>
    </row>
    <row r="420" spans="2:10" x14ac:dyDescent="0.15">
      <c r="B420"/>
      <c r="C420"/>
      <c r="D420"/>
      <c r="E420"/>
      <c r="F420" s="7"/>
      <c r="G420" s="7"/>
      <c r="H420" s="7"/>
      <c r="I420" s="7"/>
      <c r="J420" s="7"/>
    </row>
    <row r="421" spans="2:10" x14ac:dyDescent="0.15">
      <c r="B421"/>
      <c r="C421"/>
      <c r="D421"/>
      <c r="E421"/>
      <c r="F421" s="7"/>
      <c r="G421" s="7"/>
      <c r="H421" s="7"/>
      <c r="I421" s="7"/>
      <c r="J421" s="7"/>
    </row>
    <row r="422" spans="2:10" x14ac:dyDescent="0.15">
      <c r="B422"/>
      <c r="C422"/>
      <c r="D422"/>
      <c r="E422"/>
      <c r="F422" s="7"/>
      <c r="G422" s="7"/>
      <c r="H422" s="7"/>
      <c r="I422" s="7"/>
      <c r="J422" s="7"/>
    </row>
    <row r="423" spans="2:10" x14ac:dyDescent="0.15">
      <c r="B423"/>
      <c r="C423"/>
      <c r="D423"/>
      <c r="E423"/>
      <c r="F423" s="7"/>
      <c r="G423" s="7"/>
      <c r="H423" s="7"/>
      <c r="I423" s="7"/>
      <c r="J423" s="7"/>
    </row>
    <row r="424" spans="2:10" x14ac:dyDescent="0.15">
      <c r="B424"/>
      <c r="C424"/>
      <c r="D424"/>
      <c r="E424"/>
      <c r="F424" s="7"/>
      <c r="G424" s="7"/>
      <c r="H424" s="7"/>
      <c r="I424" s="7"/>
      <c r="J424" s="7"/>
    </row>
    <row r="425" spans="2:10" x14ac:dyDescent="0.15">
      <c r="B425"/>
      <c r="C425"/>
      <c r="D425"/>
      <c r="E425"/>
      <c r="F425" s="7"/>
      <c r="G425" s="7"/>
      <c r="H425" s="7"/>
      <c r="I425" s="7"/>
      <c r="J425" s="7"/>
    </row>
    <row r="426" spans="2:10" x14ac:dyDescent="0.15">
      <c r="B426"/>
      <c r="C426"/>
      <c r="D426"/>
      <c r="E426"/>
      <c r="F426" s="7"/>
      <c r="G426" s="7"/>
      <c r="H426" s="7"/>
      <c r="I426" s="7"/>
      <c r="J426" s="7"/>
    </row>
    <row r="427" spans="2:10" x14ac:dyDescent="0.15">
      <c r="B427"/>
      <c r="C427"/>
      <c r="D427"/>
      <c r="E427"/>
      <c r="F427" s="7"/>
      <c r="G427" s="7"/>
      <c r="H427" s="7"/>
      <c r="I427" s="7"/>
      <c r="J427" s="7"/>
    </row>
    <row r="428" spans="2:10" x14ac:dyDescent="0.15">
      <c r="B428"/>
      <c r="C428"/>
      <c r="D428"/>
      <c r="E428"/>
      <c r="F428" s="7"/>
      <c r="G428" s="7"/>
      <c r="H428" s="7"/>
      <c r="I428" s="7"/>
      <c r="J428" s="7"/>
    </row>
    <row r="429" spans="2:10" x14ac:dyDescent="0.15">
      <c r="B429"/>
      <c r="C429"/>
      <c r="D429"/>
      <c r="E429"/>
      <c r="F429" s="7"/>
      <c r="G429" s="7"/>
      <c r="H429" s="7"/>
      <c r="I429" s="7"/>
      <c r="J429" s="7"/>
    </row>
    <row r="430" spans="2:10" x14ac:dyDescent="0.15">
      <c r="B430"/>
      <c r="C430"/>
      <c r="D430"/>
      <c r="E430"/>
      <c r="F430" s="7"/>
      <c r="G430" s="7"/>
      <c r="H430" s="7"/>
      <c r="I430" s="7"/>
      <c r="J430" s="7"/>
    </row>
    <row r="431" spans="2:10" x14ac:dyDescent="0.15">
      <c r="B431"/>
      <c r="C431"/>
      <c r="D431"/>
      <c r="E431"/>
      <c r="F431" s="7"/>
      <c r="G431" s="7"/>
      <c r="H431" s="7"/>
      <c r="I431" s="7"/>
      <c r="J431" s="7"/>
    </row>
    <row r="432" spans="2:10" x14ac:dyDescent="0.15">
      <c r="B432"/>
      <c r="C432"/>
      <c r="D432"/>
      <c r="E432"/>
      <c r="F432" s="7"/>
      <c r="G432" s="7"/>
      <c r="H432" s="7"/>
      <c r="I432" s="7"/>
      <c r="J432" s="7"/>
    </row>
    <row r="433" spans="2:10" x14ac:dyDescent="0.15">
      <c r="B433"/>
      <c r="C433"/>
      <c r="D433"/>
      <c r="E433"/>
      <c r="F433" s="7"/>
      <c r="G433" s="7"/>
      <c r="H433" s="7"/>
      <c r="I433" s="7"/>
      <c r="J433" s="7"/>
    </row>
    <row r="434" spans="2:10" x14ac:dyDescent="0.15">
      <c r="B434"/>
      <c r="C434"/>
      <c r="D434"/>
      <c r="E434"/>
      <c r="F434" s="7"/>
      <c r="G434" s="7"/>
      <c r="H434" s="7"/>
      <c r="I434" s="7"/>
      <c r="J434" s="7"/>
    </row>
    <row r="435" spans="2:10" x14ac:dyDescent="0.15">
      <c r="B435"/>
      <c r="C435"/>
      <c r="D435"/>
      <c r="E435"/>
      <c r="F435" s="7"/>
      <c r="G435" s="7"/>
      <c r="H435" s="7"/>
      <c r="I435" s="7"/>
      <c r="J435" s="7"/>
    </row>
    <row r="436" spans="2:10" x14ac:dyDescent="0.15">
      <c r="B436"/>
      <c r="C436"/>
      <c r="D436"/>
      <c r="E436"/>
      <c r="F436" s="7"/>
      <c r="G436" s="7"/>
      <c r="H436" s="7"/>
      <c r="I436" s="7"/>
      <c r="J436" s="7"/>
    </row>
    <row r="437" spans="2:10" x14ac:dyDescent="0.15">
      <c r="B437"/>
      <c r="C437"/>
      <c r="D437"/>
      <c r="E437"/>
      <c r="F437" s="7"/>
      <c r="G437" s="7"/>
      <c r="H437" s="7"/>
      <c r="I437" s="7"/>
      <c r="J437" s="7"/>
    </row>
    <row r="438" spans="2:10" x14ac:dyDescent="0.15">
      <c r="B438"/>
      <c r="C438"/>
      <c r="D438"/>
      <c r="E438"/>
      <c r="F438" s="7"/>
      <c r="G438" s="7"/>
      <c r="H438" s="7"/>
      <c r="I438" s="7"/>
      <c r="J438" s="7"/>
    </row>
    <row r="439" spans="2:10" x14ac:dyDescent="0.15">
      <c r="B439"/>
      <c r="C439"/>
      <c r="D439"/>
      <c r="E439"/>
      <c r="F439" s="7"/>
      <c r="G439" s="7"/>
      <c r="H439" s="7"/>
      <c r="I439" s="7"/>
      <c r="J439" s="7"/>
    </row>
    <row r="440" spans="2:10" x14ac:dyDescent="0.15">
      <c r="B440"/>
      <c r="C440"/>
      <c r="D440"/>
      <c r="E440"/>
      <c r="F440" s="7"/>
      <c r="G440" s="7"/>
      <c r="H440" s="7"/>
      <c r="I440" s="7"/>
      <c r="J440" s="7"/>
    </row>
    <row r="441" spans="2:10" x14ac:dyDescent="0.15">
      <c r="B441"/>
      <c r="C441"/>
      <c r="D441"/>
      <c r="E441"/>
      <c r="F441" s="7"/>
      <c r="G441" s="7"/>
      <c r="H441" s="7"/>
      <c r="I441" s="7"/>
      <c r="J441" s="7"/>
    </row>
    <row r="442" spans="2:10" x14ac:dyDescent="0.15">
      <c r="B442"/>
      <c r="C442"/>
      <c r="D442"/>
      <c r="E442"/>
      <c r="F442" s="7"/>
      <c r="G442" s="7"/>
      <c r="H442" s="7"/>
      <c r="I442" s="7"/>
      <c r="J442" s="7"/>
    </row>
    <row r="443" spans="2:10" x14ac:dyDescent="0.15">
      <c r="B443"/>
      <c r="C443"/>
      <c r="D443"/>
      <c r="E443"/>
      <c r="F443" s="7"/>
      <c r="G443" s="7"/>
      <c r="H443" s="7"/>
      <c r="I443" s="7"/>
      <c r="J443" s="7"/>
    </row>
    <row r="444" spans="2:10" x14ac:dyDescent="0.15">
      <c r="B444"/>
      <c r="C444"/>
      <c r="D444"/>
      <c r="E444"/>
      <c r="F444" s="7"/>
      <c r="G444" s="7"/>
      <c r="H444" s="7"/>
      <c r="I444" s="7"/>
      <c r="J444" s="7"/>
    </row>
    <row r="445" spans="2:10" x14ac:dyDescent="0.15">
      <c r="B445"/>
      <c r="C445"/>
      <c r="D445"/>
      <c r="E445"/>
      <c r="F445" s="7"/>
      <c r="G445" s="7"/>
      <c r="H445" s="7"/>
      <c r="I445" s="7"/>
      <c r="J445" s="7"/>
    </row>
    <row r="446" spans="2:10" x14ac:dyDescent="0.15">
      <c r="B446"/>
      <c r="C446"/>
      <c r="D446"/>
      <c r="E446"/>
      <c r="F446" s="7"/>
      <c r="G446" s="7"/>
      <c r="H446" s="7"/>
      <c r="I446" s="7"/>
      <c r="J446" s="7"/>
    </row>
    <row r="447" spans="2:10" x14ac:dyDescent="0.15">
      <c r="B447"/>
      <c r="C447"/>
      <c r="D447"/>
      <c r="E447"/>
      <c r="F447" s="7"/>
      <c r="G447" s="7"/>
      <c r="H447" s="7"/>
      <c r="I447" s="7"/>
      <c r="J447" s="7"/>
    </row>
    <row r="448" spans="2:10" x14ac:dyDescent="0.15">
      <c r="B448"/>
      <c r="C448"/>
      <c r="D448"/>
      <c r="E448"/>
      <c r="F448" s="7"/>
      <c r="G448" s="7"/>
      <c r="H448" s="7"/>
      <c r="I448" s="7"/>
      <c r="J448" s="7"/>
    </row>
    <row r="449" spans="2:10" x14ac:dyDescent="0.15">
      <c r="B449"/>
      <c r="C449"/>
      <c r="D449"/>
      <c r="E449"/>
      <c r="F449" s="7"/>
      <c r="G449" s="7"/>
      <c r="H449" s="7"/>
      <c r="I449" s="7"/>
      <c r="J449" s="7"/>
    </row>
    <row r="450" spans="2:10" x14ac:dyDescent="0.15">
      <c r="B450"/>
      <c r="C450"/>
      <c r="D450"/>
      <c r="E450"/>
      <c r="F450" s="7"/>
      <c r="G450" s="7"/>
      <c r="H450" s="7"/>
      <c r="I450" s="7"/>
      <c r="J450" s="7"/>
    </row>
    <row r="451" spans="2:10" x14ac:dyDescent="0.15">
      <c r="B451"/>
      <c r="C451"/>
      <c r="D451"/>
      <c r="E451"/>
      <c r="F451" s="7"/>
      <c r="G451" s="7"/>
      <c r="H451" s="7"/>
      <c r="I451" s="7"/>
      <c r="J451" s="7"/>
    </row>
    <row r="452" spans="2:10" x14ac:dyDescent="0.15">
      <c r="B452"/>
      <c r="C452"/>
      <c r="D452"/>
      <c r="E452"/>
      <c r="F452" s="7"/>
      <c r="G452" s="7"/>
      <c r="H452" s="7"/>
      <c r="I452" s="7"/>
      <c r="J452" s="7"/>
    </row>
    <row r="453" spans="2:10" x14ac:dyDescent="0.15">
      <c r="B453"/>
      <c r="C453"/>
      <c r="D453"/>
      <c r="E453"/>
      <c r="F453" s="7"/>
      <c r="G453" s="7"/>
      <c r="H453" s="7"/>
      <c r="I453" s="7"/>
      <c r="J453" s="7"/>
    </row>
    <row r="454" spans="2:10" x14ac:dyDescent="0.15">
      <c r="B454"/>
      <c r="C454"/>
      <c r="D454"/>
      <c r="E454"/>
      <c r="F454" s="7"/>
      <c r="G454" s="7"/>
      <c r="H454" s="7"/>
      <c r="I454" s="7"/>
      <c r="J454" s="7"/>
    </row>
    <row r="455" spans="2:10" x14ac:dyDescent="0.15">
      <c r="B455"/>
      <c r="C455"/>
      <c r="D455"/>
      <c r="E455"/>
      <c r="F455" s="7"/>
      <c r="G455" s="7"/>
      <c r="H455" s="7"/>
      <c r="I455" s="7"/>
      <c r="J455" s="7"/>
    </row>
    <row r="456" spans="2:10" x14ac:dyDescent="0.15">
      <c r="B456"/>
      <c r="C456"/>
      <c r="D456"/>
      <c r="E456"/>
      <c r="F456" s="7"/>
      <c r="G456" s="7"/>
      <c r="H456" s="7"/>
      <c r="I456" s="7"/>
      <c r="J456" s="7"/>
    </row>
    <row r="457" spans="2:10" x14ac:dyDescent="0.15">
      <c r="B457"/>
      <c r="C457"/>
      <c r="D457"/>
      <c r="E457"/>
      <c r="F457" s="7"/>
      <c r="G457" s="7"/>
      <c r="H457" s="7"/>
      <c r="I457" s="7"/>
      <c r="J457" s="7"/>
    </row>
    <row r="458" spans="2:10" x14ac:dyDescent="0.15">
      <c r="B458"/>
      <c r="C458"/>
      <c r="D458"/>
      <c r="E458"/>
      <c r="F458" s="7"/>
      <c r="G458" s="7"/>
      <c r="H458" s="7"/>
      <c r="I458" s="7"/>
      <c r="J458" s="7"/>
    </row>
    <row r="459" spans="2:10" x14ac:dyDescent="0.15">
      <c r="B459"/>
      <c r="C459"/>
      <c r="D459"/>
      <c r="E459"/>
      <c r="F459" s="7"/>
      <c r="G459" s="7"/>
      <c r="H459" s="7"/>
      <c r="I459" s="7"/>
      <c r="J459" s="7"/>
    </row>
    <row r="460" spans="2:10" x14ac:dyDescent="0.15">
      <c r="B460"/>
      <c r="C460"/>
      <c r="D460"/>
      <c r="E460"/>
      <c r="F460" s="7"/>
      <c r="G460" s="7"/>
      <c r="H460" s="7"/>
      <c r="I460" s="7"/>
      <c r="J460" s="7"/>
    </row>
    <row r="461" spans="2:10" x14ac:dyDescent="0.15">
      <c r="B461"/>
      <c r="C461"/>
      <c r="D461"/>
      <c r="E461"/>
      <c r="F461" s="7"/>
      <c r="G461" s="7"/>
      <c r="H461" s="7"/>
      <c r="I461" s="7"/>
      <c r="J461" s="7"/>
    </row>
    <row r="462" spans="2:10" x14ac:dyDescent="0.15">
      <c r="B462"/>
      <c r="C462"/>
      <c r="D462"/>
      <c r="E462"/>
      <c r="F462" s="7"/>
      <c r="G462" s="7"/>
      <c r="H462" s="7"/>
      <c r="I462" s="7"/>
      <c r="J462" s="7"/>
    </row>
    <row r="463" spans="2:10" x14ac:dyDescent="0.15">
      <c r="B463"/>
      <c r="C463"/>
      <c r="D463"/>
      <c r="E463"/>
      <c r="F463" s="7"/>
      <c r="G463" s="7"/>
      <c r="H463" s="7"/>
      <c r="I463" s="7"/>
      <c r="J463" s="7"/>
    </row>
    <row r="464" spans="2:10" x14ac:dyDescent="0.15">
      <c r="B464"/>
      <c r="C464"/>
      <c r="D464"/>
      <c r="E464"/>
      <c r="F464" s="7"/>
      <c r="G464" s="7"/>
      <c r="H464" s="7"/>
      <c r="I464" s="7"/>
      <c r="J464" s="7"/>
    </row>
    <row r="465" spans="2:10" x14ac:dyDescent="0.15">
      <c r="B465"/>
      <c r="C465"/>
      <c r="D465"/>
      <c r="E465"/>
      <c r="F465" s="7"/>
      <c r="G465" s="7"/>
      <c r="H465" s="7"/>
      <c r="I465" s="7"/>
      <c r="J465" s="7"/>
    </row>
    <row r="466" spans="2:10" x14ac:dyDescent="0.15">
      <c r="B466"/>
      <c r="C466"/>
      <c r="D466"/>
      <c r="E466"/>
      <c r="F466" s="7"/>
      <c r="G466" s="7"/>
      <c r="H466" s="7"/>
      <c r="I466" s="7"/>
      <c r="J466" s="7"/>
    </row>
    <row r="467" spans="2:10" x14ac:dyDescent="0.15">
      <c r="B467"/>
      <c r="C467"/>
      <c r="D467"/>
      <c r="E467"/>
      <c r="F467" s="7"/>
      <c r="G467" s="7"/>
      <c r="H467" s="7"/>
      <c r="I467" s="7"/>
      <c r="J467" s="7"/>
    </row>
    <row r="468" spans="2:10" x14ac:dyDescent="0.15">
      <c r="B468"/>
      <c r="C468"/>
      <c r="D468"/>
      <c r="E468"/>
      <c r="F468" s="7"/>
      <c r="G468" s="7"/>
      <c r="H468" s="7"/>
      <c r="I468" s="7"/>
      <c r="J468" s="7"/>
    </row>
    <row r="469" spans="2:10" x14ac:dyDescent="0.15">
      <c r="B469"/>
      <c r="C469"/>
      <c r="D469"/>
      <c r="E469"/>
      <c r="F469" s="7"/>
      <c r="G469" s="7"/>
      <c r="H469" s="7"/>
      <c r="I469" s="7"/>
      <c r="J469" s="7"/>
    </row>
    <row r="470" spans="2:10" x14ac:dyDescent="0.15">
      <c r="B470"/>
      <c r="C470"/>
      <c r="D470"/>
      <c r="E470"/>
      <c r="F470" s="7"/>
      <c r="G470" s="7"/>
      <c r="H470" s="7"/>
      <c r="I470" s="7"/>
      <c r="J470" s="7"/>
    </row>
    <row r="471" spans="2:10" x14ac:dyDescent="0.15">
      <c r="B471"/>
      <c r="C471"/>
      <c r="D471"/>
      <c r="E471"/>
      <c r="F471" s="7"/>
      <c r="G471" s="7"/>
      <c r="H471" s="7"/>
      <c r="I471" s="7"/>
      <c r="J471" s="7"/>
    </row>
    <row r="472" spans="2:10" x14ac:dyDescent="0.15">
      <c r="B472"/>
      <c r="C472"/>
      <c r="D472"/>
      <c r="E472"/>
      <c r="F472" s="7"/>
      <c r="G472" s="7"/>
      <c r="H472" s="7"/>
      <c r="I472" s="7"/>
      <c r="J472" s="7"/>
    </row>
    <row r="473" spans="2:10" x14ac:dyDescent="0.15">
      <c r="B473"/>
      <c r="C473"/>
      <c r="D473"/>
      <c r="E473"/>
      <c r="F473" s="7"/>
      <c r="G473" s="7"/>
      <c r="H473" s="7"/>
      <c r="I473" s="7"/>
      <c r="J473" s="7"/>
    </row>
    <row r="474" spans="2:10" x14ac:dyDescent="0.15">
      <c r="B474"/>
      <c r="C474"/>
      <c r="D474"/>
      <c r="E474"/>
      <c r="F474" s="7"/>
      <c r="G474" s="7"/>
      <c r="H474" s="7"/>
      <c r="I474" s="7"/>
      <c r="J474" s="7"/>
    </row>
    <row r="475" spans="2:10" x14ac:dyDescent="0.15">
      <c r="B475"/>
      <c r="C475"/>
      <c r="D475"/>
      <c r="E475"/>
      <c r="F475" s="7"/>
      <c r="G475" s="7"/>
      <c r="H475" s="7"/>
      <c r="I475" s="7"/>
      <c r="J475" s="7"/>
    </row>
    <row r="476" spans="2:10" x14ac:dyDescent="0.15">
      <c r="B476"/>
      <c r="C476"/>
      <c r="D476"/>
      <c r="E476"/>
      <c r="F476" s="7"/>
      <c r="G476" s="7"/>
      <c r="H476" s="7"/>
      <c r="I476" s="7"/>
      <c r="J476" s="7"/>
    </row>
    <row r="477" spans="2:10" x14ac:dyDescent="0.15">
      <c r="B477"/>
      <c r="C477"/>
      <c r="D477"/>
      <c r="E477"/>
      <c r="F477" s="7"/>
      <c r="G477" s="7"/>
      <c r="H477" s="7"/>
      <c r="I477" s="7"/>
      <c r="J477" s="7"/>
    </row>
    <row r="478" spans="2:10" x14ac:dyDescent="0.15">
      <c r="B478"/>
      <c r="C478"/>
      <c r="D478"/>
      <c r="E478"/>
      <c r="F478" s="7"/>
      <c r="G478" s="7"/>
      <c r="H478" s="7"/>
      <c r="I478" s="7"/>
      <c r="J478" s="7"/>
    </row>
    <row r="479" spans="2:10" x14ac:dyDescent="0.15">
      <c r="B479"/>
      <c r="C479"/>
      <c r="D479"/>
      <c r="E479"/>
      <c r="F479" s="7"/>
      <c r="G479" s="7"/>
      <c r="H479" s="7"/>
      <c r="I479" s="7"/>
      <c r="J479" s="7"/>
    </row>
    <row r="480" spans="2:10" x14ac:dyDescent="0.15">
      <c r="B480"/>
      <c r="C480"/>
      <c r="D480"/>
      <c r="E480"/>
      <c r="F480" s="7"/>
      <c r="G480" s="7"/>
      <c r="H480" s="7"/>
      <c r="I480" s="7"/>
      <c r="J480" s="7"/>
    </row>
    <row r="481" spans="2:10" x14ac:dyDescent="0.15">
      <c r="B481"/>
      <c r="C481"/>
      <c r="D481"/>
      <c r="E481"/>
      <c r="F481" s="7"/>
      <c r="G481" s="7"/>
      <c r="H481" s="7"/>
      <c r="I481" s="7"/>
      <c r="J481" s="7"/>
    </row>
    <row r="482" spans="2:10" x14ac:dyDescent="0.15">
      <c r="B482"/>
      <c r="C482"/>
      <c r="D482"/>
      <c r="E482"/>
      <c r="F482" s="7"/>
      <c r="G482" s="7"/>
      <c r="H482" s="7"/>
      <c r="I482" s="7"/>
      <c r="J482" s="7"/>
    </row>
    <row r="483" spans="2:10" x14ac:dyDescent="0.15">
      <c r="B483"/>
      <c r="C483"/>
      <c r="D483"/>
      <c r="E483"/>
      <c r="F483" s="7"/>
      <c r="G483" s="7"/>
      <c r="H483" s="7"/>
      <c r="I483" s="7"/>
      <c r="J483" s="7"/>
    </row>
    <row r="484" spans="2:10" x14ac:dyDescent="0.15">
      <c r="B484"/>
      <c r="C484"/>
      <c r="D484"/>
      <c r="E484"/>
      <c r="F484" s="7"/>
      <c r="G484" s="7"/>
      <c r="H484" s="7"/>
      <c r="I484" s="7"/>
      <c r="J484" s="7"/>
    </row>
    <row r="485" spans="2:10" x14ac:dyDescent="0.15">
      <c r="B485"/>
      <c r="C485"/>
      <c r="D485"/>
      <c r="E485"/>
      <c r="F485" s="7"/>
      <c r="G485" s="7"/>
      <c r="H485" s="7"/>
      <c r="I485" s="7"/>
      <c r="J485" s="7"/>
    </row>
    <row r="486" spans="2:10" x14ac:dyDescent="0.15">
      <c r="B486"/>
      <c r="C486"/>
      <c r="D486"/>
      <c r="E486"/>
      <c r="F486" s="7"/>
      <c r="G486" s="7"/>
      <c r="H486" s="7"/>
      <c r="I486" s="7"/>
      <c r="J486" s="7"/>
    </row>
    <row r="487" spans="2:10" x14ac:dyDescent="0.15">
      <c r="B487"/>
      <c r="C487"/>
      <c r="D487"/>
      <c r="E487"/>
      <c r="F487" s="7"/>
      <c r="G487" s="7"/>
      <c r="H487" s="7"/>
      <c r="I487" s="7"/>
      <c r="J487" s="7"/>
    </row>
    <row r="488" spans="2:10" x14ac:dyDescent="0.15">
      <c r="B488"/>
      <c r="C488"/>
      <c r="D488"/>
      <c r="E488"/>
      <c r="F488" s="7"/>
      <c r="G488" s="7"/>
      <c r="H488" s="7"/>
      <c r="I488" s="7"/>
      <c r="J488" s="7"/>
    </row>
    <row r="489" spans="2:10" x14ac:dyDescent="0.15">
      <c r="B489"/>
      <c r="C489"/>
      <c r="D489"/>
      <c r="E489"/>
      <c r="F489" s="7"/>
      <c r="G489" s="7"/>
      <c r="H489" s="7"/>
      <c r="I489" s="7"/>
      <c r="J489" s="7"/>
    </row>
    <row r="490" spans="2:10" x14ac:dyDescent="0.15">
      <c r="B490"/>
      <c r="C490"/>
      <c r="D490"/>
      <c r="E490"/>
      <c r="F490" s="7"/>
      <c r="G490" s="7"/>
      <c r="H490" s="7"/>
      <c r="I490" s="7"/>
      <c r="J490" s="7"/>
    </row>
    <row r="491" spans="2:10" x14ac:dyDescent="0.15">
      <c r="B491"/>
      <c r="C491"/>
      <c r="D491"/>
      <c r="E491"/>
      <c r="F491" s="7"/>
      <c r="G491" s="7"/>
      <c r="H491" s="7"/>
      <c r="I491" s="7"/>
      <c r="J491" s="7"/>
    </row>
    <row r="492" spans="2:10" x14ac:dyDescent="0.15">
      <c r="B492"/>
      <c r="C492"/>
      <c r="D492"/>
      <c r="E492"/>
      <c r="F492" s="7"/>
      <c r="G492" s="7"/>
      <c r="H492" s="7"/>
      <c r="I492" s="7"/>
      <c r="J492" s="7"/>
    </row>
    <row r="493" spans="2:10" x14ac:dyDescent="0.15">
      <c r="B493"/>
      <c r="C493"/>
      <c r="D493"/>
      <c r="E493"/>
      <c r="F493" s="7"/>
      <c r="G493" s="7"/>
      <c r="H493" s="7"/>
      <c r="I493" s="7"/>
      <c r="J493" s="7"/>
    </row>
    <row r="494" spans="2:10" x14ac:dyDescent="0.15">
      <c r="B494"/>
      <c r="C494"/>
      <c r="D494"/>
      <c r="E494"/>
      <c r="F494" s="7"/>
      <c r="G494" s="7"/>
      <c r="H494" s="7"/>
      <c r="I494" s="7"/>
      <c r="J494" s="7"/>
    </row>
    <row r="495" spans="2:10" x14ac:dyDescent="0.15">
      <c r="B495"/>
      <c r="C495"/>
      <c r="D495"/>
      <c r="E495"/>
      <c r="F495" s="7"/>
      <c r="G495" s="7"/>
      <c r="H495" s="7"/>
      <c r="I495" s="7"/>
      <c r="J495" s="7"/>
    </row>
    <row r="496" spans="2:10" x14ac:dyDescent="0.15">
      <c r="B496"/>
      <c r="C496"/>
      <c r="D496"/>
      <c r="E496"/>
      <c r="F496" s="7"/>
      <c r="G496" s="7"/>
      <c r="H496" s="7"/>
      <c r="I496" s="7"/>
      <c r="J496" s="7"/>
    </row>
    <row r="497" spans="2:10" x14ac:dyDescent="0.15">
      <c r="B497"/>
      <c r="C497"/>
      <c r="D497"/>
      <c r="E497"/>
      <c r="F497" s="7"/>
      <c r="G497" s="7"/>
      <c r="H497" s="7"/>
      <c r="I497" s="7"/>
      <c r="J497" s="7"/>
    </row>
    <row r="498" spans="2:10" x14ac:dyDescent="0.15">
      <c r="B498"/>
      <c r="C498"/>
      <c r="D498"/>
      <c r="E498"/>
      <c r="F498" s="7"/>
      <c r="G498" s="7"/>
      <c r="H498" s="7"/>
      <c r="I498" s="7"/>
      <c r="J498" s="7"/>
    </row>
    <row r="499" spans="2:10" x14ac:dyDescent="0.15">
      <c r="B499"/>
      <c r="C499"/>
      <c r="D499"/>
      <c r="E499"/>
      <c r="F499" s="7"/>
      <c r="G499" s="7"/>
      <c r="H499" s="7"/>
      <c r="I499" s="7"/>
      <c r="J499" s="7"/>
    </row>
    <row r="500" spans="2:10" x14ac:dyDescent="0.15">
      <c r="B500"/>
      <c r="C500"/>
      <c r="D500"/>
      <c r="E500"/>
      <c r="F500" s="7"/>
      <c r="G500" s="7"/>
      <c r="H500" s="7"/>
      <c r="I500" s="7"/>
      <c r="J500" s="7"/>
    </row>
    <row r="501" spans="2:10" x14ac:dyDescent="0.15">
      <c r="B501"/>
      <c r="C501"/>
      <c r="D501"/>
      <c r="E501"/>
      <c r="F501" s="7"/>
      <c r="G501" s="7"/>
      <c r="H501" s="7"/>
      <c r="I501" s="7"/>
      <c r="J501" s="7"/>
    </row>
    <row r="502" spans="2:10" x14ac:dyDescent="0.15">
      <c r="B502"/>
      <c r="C502"/>
      <c r="D502"/>
      <c r="E502"/>
      <c r="F502" s="7"/>
      <c r="G502" s="7"/>
      <c r="H502" s="7"/>
      <c r="I502" s="7"/>
      <c r="J502" s="7"/>
    </row>
    <row r="503" spans="2:10" x14ac:dyDescent="0.15">
      <c r="B503"/>
      <c r="C503"/>
      <c r="D503"/>
      <c r="E503"/>
      <c r="F503" s="7"/>
      <c r="G503" s="7"/>
      <c r="H503" s="7"/>
      <c r="I503" s="7"/>
      <c r="J503" s="7"/>
    </row>
    <row r="504" spans="2:10" x14ac:dyDescent="0.15">
      <c r="B504"/>
      <c r="C504"/>
      <c r="D504"/>
      <c r="E504"/>
      <c r="F504" s="7"/>
      <c r="G504" s="7"/>
      <c r="H504" s="7"/>
      <c r="I504" s="7"/>
      <c r="J504" s="7"/>
    </row>
    <row r="505" spans="2:10" x14ac:dyDescent="0.15">
      <c r="B505"/>
      <c r="C505"/>
      <c r="D505"/>
      <c r="E505"/>
      <c r="F505" s="7"/>
      <c r="G505" s="7"/>
      <c r="H505" s="7"/>
      <c r="I505" s="7"/>
      <c r="J505" s="7"/>
    </row>
    <row r="506" spans="2:10" x14ac:dyDescent="0.15">
      <c r="B506"/>
      <c r="C506"/>
      <c r="D506"/>
      <c r="E506"/>
      <c r="F506" s="7"/>
      <c r="G506" s="7"/>
      <c r="H506" s="7"/>
      <c r="I506" s="7"/>
      <c r="J506" s="7"/>
    </row>
    <row r="507" spans="2:10" x14ac:dyDescent="0.15">
      <c r="B507"/>
      <c r="C507"/>
      <c r="D507"/>
      <c r="E507"/>
      <c r="F507" s="7"/>
      <c r="G507" s="7"/>
      <c r="H507" s="7"/>
      <c r="I507" s="7"/>
      <c r="J507" s="7"/>
    </row>
    <row r="508" spans="2:10" x14ac:dyDescent="0.15">
      <c r="B508"/>
      <c r="C508"/>
      <c r="D508"/>
      <c r="E508"/>
      <c r="F508" s="7"/>
      <c r="G508" s="7"/>
      <c r="H508" s="7"/>
      <c r="I508" s="7"/>
      <c r="J508" s="7"/>
    </row>
    <row r="509" spans="2:10" x14ac:dyDescent="0.15">
      <c r="B509"/>
      <c r="C509"/>
      <c r="D509"/>
      <c r="E509"/>
      <c r="F509" s="7"/>
      <c r="G509" s="7"/>
      <c r="H509" s="7"/>
      <c r="I509" s="7"/>
      <c r="J509" s="7"/>
    </row>
    <row r="510" spans="2:10" x14ac:dyDescent="0.15">
      <c r="B510"/>
      <c r="C510"/>
      <c r="D510"/>
      <c r="E510"/>
      <c r="F510" s="7"/>
      <c r="G510" s="7"/>
      <c r="H510" s="7"/>
      <c r="I510" s="7"/>
      <c r="J510" s="7"/>
    </row>
    <row r="511" spans="2:10" x14ac:dyDescent="0.15">
      <c r="B511"/>
      <c r="C511"/>
      <c r="D511"/>
      <c r="E511"/>
      <c r="F511" s="7"/>
      <c r="G511" s="7"/>
      <c r="H511" s="7"/>
      <c r="I511" s="7"/>
      <c r="J511" s="7"/>
    </row>
    <row r="512" spans="2:10" x14ac:dyDescent="0.15">
      <c r="B512"/>
      <c r="C512"/>
      <c r="D512"/>
      <c r="E512"/>
      <c r="F512" s="7"/>
      <c r="G512" s="7"/>
      <c r="H512" s="7"/>
      <c r="I512" s="7"/>
      <c r="J512" s="7"/>
    </row>
    <row r="513" spans="2:10" x14ac:dyDescent="0.15">
      <c r="B513"/>
      <c r="C513"/>
      <c r="D513"/>
      <c r="E513"/>
      <c r="F513" s="7"/>
      <c r="G513" s="7"/>
      <c r="H513" s="7"/>
      <c r="I513" s="7"/>
      <c r="J513" s="7"/>
    </row>
    <row r="514" spans="2:10" x14ac:dyDescent="0.15">
      <c r="B514"/>
      <c r="C514"/>
      <c r="D514"/>
      <c r="E514"/>
      <c r="F514" s="7"/>
      <c r="G514" s="7"/>
      <c r="H514" s="7"/>
      <c r="I514" s="7"/>
      <c r="J514" s="7"/>
    </row>
    <row r="515" spans="2:10" x14ac:dyDescent="0.15">
      <c r="B515"/>
      <c r="C515"/>
      <c r="D515"/>
      <c r="E515"/>
      <c r="F515" s="7"/>
      <c r="G515" s="7"/>
      <c r="H515" s="7"/>
      <c r="I515" s="7"/>
      <c r="J515" s="7"/>
    </row>
    <row r="516" spans="2:10" x14ac:dyDescent="0.15">
      <c r="B516"/>
      <c r="C516"/>
      <c r="D516"/>
      <c r="E516"/>
      <c r="F516" s="7"/>
      <c r="G516" s="7"/>
      <c r="H516" s="7"/>
      <c r="I516" s="7"/>
      <c r="J516" s="7"/>
    </row>
    <row r="517" spans="2:10" x14ac:dyDescent="0.15">
      <c r="B517"/>
      <c r="C517"/>
      <c r="D517"/>
      <c r="E517"/>
      <c r="F517" s="7"/>
      <c r="G517" s="7"/>
      <c r="H517" s="7"/>
      <c r="I517" s="7"/>
      <c r="J517" s="7"/>
    </row>
    <row r="518" spans="2:10" x14ac:dyDescent="0.15">
      <c r="B518"/>
      <c r="C518"/>
      <c r="D518"/>
      <c r="E518"/>
      <c r="F518" s="7"/>
      <c r="G518" s="7"/>
      <c r="H518" s="7"/>
      <c r="I518" s="7"/>
      <c r="J518" s="7"/>
    </row>
    <row r="519" spans="2:10" x14ac:dyDescent="0.15">
      <c r="B519"/>
      <c r="C519"/>
      <c r="D519"/>
      <c r="E519"/>
      <c r="F519" s="7"/>
      <c r="G519" s="7"/>
      <c r="H519" s="7"/>
      <c r="I519" s="7"/>
      <c r="J519" s="7"/>
    </row>
    <row r="520" spans="2:10" x14ac:dyDescent="0.15">
      <c r="B520"/>
      <c r="C520"/>
      <c r="D520"/>
      <c r="E520"/>
      <c r="F520" s="7"/>
      <c r="G520" s="7"/>
      <c r="H520" s="7"/>
      <c r="I520" s="7"/>
      <c r="J520" s="7"/>
    </row>
    <row r="521" spans="2:10" x14ac:dyDescent="0.15">
      <c r="B521"/>
      <c r="C521"/>
      <c r="D521"/>
      <c r="E521"/>
      <c r="F521" s="7"/>
      <c r="G521" s="7"/>
      <c r="H521" s="7"/>
      <c r="I521" s="7"/>
      <c r="J521" s="7"/>
    </row>
    <row r="522" spans="2:10" x14ac:dyDescent="0.15">
      <c r="B522"/>
      <c r="C522"/>
      <c r="D522"/>
      <c r="E522"/>
      <c r="F522" s="7"/>
      <c r="G522" s="7"/>
      <c r="H522" s="7"/>
      <c r="I522" s="7"/>
      <c r="J522" s="7"/>
    </row>
    <row r="523" spans="2:10" x14ac:dyDescent="0.15">
      <c r="B523"/>
      <c r="C523"/>
      <c r="D523"/>
      <c r="E523"/>
      <c r="F523" s="7"/>
      <c r="G523" s="7"/>
      <c r="H523" s="7"/>
      <c r="I523" s="7"/>
      <c r="J523" s="7"/>
    </row>
    <row r="524" spans="2:10" x14ac:dyDescent="0.15">
      <c r="B524"/>
      <c r="C524"/>
      <c r="D524"/>
      <c r="E524"/>
      <c r="F524" s="7"/>
      <c r="G524" s="7"/>
      <c r="H524" s="7"/>
      <c r="I524" s="7"/>
      <c r="J524" s="7"/>
    </row>
    <row r="525" spans="2:10" x14ac:dyDescent="0.15">
      <c r="B525"/>
      <c r="C525"/>
      <c r="D525"/>
      <c r="E525"/>
      <c r="F525" s="7"/>
      <c r="G525" s="7"/>
      <c r="H525" s="7"/>
      <c r="I525" s="7"/>
      <c r="J525" s="7"/>
    </row>
    <row r="526" spans="2:10" x14ac:dyDescent="0.15">
      <c r="B526"/>
      <c r="C526"/>
      <c r="D526"/>
      <c r="E526"/>
      <c r="F526" s="7"/>
      <c r="G526" s="7"/>
      <c r="H526" s="7"/>
      <c r="I526" s="7"/>
      <c r="J526" s="7"/>
    </row>
    <row r="527" spans="2:10" x14ac:dyDescent="0.15">
      <c r="B527"/>
      <c r="C527"/>
      <c r="D527"/>
      <c r="E527"/>
      <c r="F527" s="7"/>
      <c r="G527" s="7"/>
      <c r="H527" s="7"/>
      <c r="I527" s="7"/>
      <c r="J527" s="7"/>
    </row>
    <row r="528" spans="2:10" x14ac:dyDescent="0.15">
      <c r="B528"/>
      <c r="C528"/>
      <c r="D528"/>
      <c r="E528"/>
      <c r="F528" s="7"/>
      <c r="G528" s="7"/>
      <c r="H528" s="7"/>
      <c r="I528" s="7"/>
      <c r="J528" s="7"/>
    </row>
    <row r="529" spans="2:10" x14ac:dyDescent="0.15">
      <c r="B529"/>
      <c r="C529"/>
      <c r="D529"/>
      <c r="E529"/>
      <c r="F529" s="7"/>
      <c r="G529" s="7"/>
      <c r="H529" s="7"/>
      <c r="I529" s="7"/>
      <c r="J529" s="7"/>
    </row>
    <row r="530" spans="2:10" x14ac:dyDescent="0.15">
      <c r="B530"/>
      <c r="C530"/>
      <c r="D530"/>
      <c r="E530"/>
      <c r="F530" s="7"/>
      <c r="G530" s="7"/>
      <c r="H530" s="7"/>
      <c r="I530" s="7"/>
      <c r="J530" s="7"/>
    </row>
    <row r="531" spans="2:10" x14ac:dyDescent="0.15">
      <c r="B531"/>
      <c r="C531"/>
      <c r="D531"/>
      <c r="E531"/>
      <c r="F531" s="7"/>
      <c r="G531" s="7"/>
      <c r="H531" s="7"/>
      <c r="I531" s="7"/>
      <c r="J531" s="7"/>
    </row>
    <row r="532" spans="2:10" x14ac:dyDescent="0.15">
      <c r="B532"/>
      <c r="C532"/>
      <c r="D532"/>
      <c r="E532"/>
      <c r="F532" s="7"/>
      <c r="G532" s="7"/>
      <c r="H532" s="7"/>
      <c r="I532" s="7"/>
      <c r="J532" s="7"/>
    </row>
    <row r="533" spans="2:10" x14ac:dyDescent="0.15">
      <c r="B533"/>
      <c r="C533"/>
      <c r="D533"/>
      <c r="E533"/>
      <c r="F533" s="7"/>
      <c r="G533" s="7"/>
      <c r="H533" s="7"/>
      <c r="I533" s="7"/>
      <c r="J533" s="7"/>
    </row>
    <row r="534" spans="2:10" x14ac:dyDescent="0.15">
      <c r="B534"/>
      <c r="C534"/>
      <c r="D534"/>
      <c r="E534"/>
      <c r="F534" s="7"/>
      <c r="G534" s="7"/>
      <c r="H534" s="7"/>
      <c r="I534" s="7"/>
      <c r="J534" s="7"/>
    </row>
    <row r="535" spans="2:10" x14ac:dyDescent="0.15">
      <c r="B535"/>
      <c r="C535"/>
      <c r="D535"/>
      <c r="E535"/>
      <c r="F535" s="7"/>
      <c r="G535" s="7"/>
      <c r="H535" s="7"/>
      <c r="I535" s="7"/>
      <c r="J535" s="7"/>
    </row>
    <row r="536" spans="2:10" x14ac:dyDescent="0.15">
      <c r="B536"/>
      <c r="C536"/>
      <c r="D536"/>
      <c r="E536"/>
      <c r="F536" s="7"/>
      <c r="G536" s="7"/>
      <c r="H536" s="7"/>
      <c r="I536" s="7"/>
      <c r="J536" s="7"/>
    </row>
    <row r="537" spans="2:10" x14ac:dyDescent="0.15">
      <c r="B537"/>
      <c r="C537"/>
      <c r="D537"/>
      <c r="E537"/>
      <c r="F537" s="7"/>
      <c r="G537" s="7"/>
      <c r="H537" s="7"/>
      <c r="I537" s="7"/>
      <c r="J537" s="7"/>
    </row>
    <row r="538" spans="2:10" x14ac:dyDescent="0.15">
      <c r="B538"/>
      <c r="C538"/>
      <c r="D538"/>
      <c r="E538"/>
      <c r="F538" s="7"/>
      <c r="G538" s="7"/>
      <c r="H538" s="7"/>
      <c r="I538" s="7"/>
      <c r="J538" s="7"/>
    </row>
    <row r="539" spans="2:10" x14ac:dyDescent="0.15">
      <c r="B539"/>
      <c r="C539"/>
      <c r="D539"/>
      <c r="E539"/>
      <c r="F539" s="7"/>
      <c r="G539" s="7"/>
      <c r="H539" s="7"/>
      <c r="I539" s="7"/>
      <c r="J539" s="7"/>
    </row>
    <row r="540" spans="2:10" x14ac:dyDescent="0.15">
      <c r="B540"/>
      <c r="C540"/>
      <c r="D540"/>
      <c r="E540"/>
      <c r="F540" s="7"/>
      <c r="G540" s="7"/>
      <c r="H540" s="7"/>
      <c r="I540" s="7"/>
      <c r="J540" s="7"/>
    </row>
    <row r="541" spans="2:10" x14ac:dyDescent="0.15">
      <c r="B541"/>
      <c r="C541"/>
      <c r="D541"/>
      <c r="E541"/>
      <c r="F541" s="7"/>
      <c r="G541" s="7"/>
      <c r="H541" s="7"/>
      <c r="I541" s="7"/>
      <c r="J541" s="7"/>
    </row>
    <row r="542" spans="2:10" x14ac:dyDescent="0.15">
      <c r="B542"/>
      <c r="C542"/>
      <c r="D542"/>
      <c r="E542"/>
      <c r="F542" s="7"/>
      <c r="G542" s="7"/>
      <c r="H542" s="7"/>
      <c r="I542" s="7"/>
      <c r="J542" s="7"/>
    </row>
    <row r="543" spans="2:10" x14ac:dyDescent="0.15">
      <c r="B543"/>
      <c r="C543"/>
      <c r="D543"/>
      <c r="E543"/>
      <c r="F543" s="7"/>
      <c r="G543" s="7"/>
      <c r="H543" s="7"/>
      <c r="I543" s="7"/>
      <c r="J543" s="7"/>
    </row>
    <row r="544" spans="2:10" x14ac:dyDescent="0.15">
      <c r="B544"/>
      <c r="C544"/>
      <c r="D544"/>
      <c r="E544"/>
      <c r="F544" s="7"/>
      <c r="G544" s="7"/>
      <c r="H544" s="7"/>
      <c r="I544" s="7"/>
      <c r="J544" s="7"/>
    </row>
    <row r="545" spans="2:10" x14ac:dyDescent="0.15">
      <c r="B545"/>
      <c r="C545"/>
      <c r="D545"/>
      <c r="E545"/>
      <c r="F545" s="7"/>
      <c r="G545" s="7"/>
      <c r="H545" s="7"/>
      <c r="I545" s="7"/>
      <c r="J545" s="7"/>
    </row>
    <row r="546" spans="2:10" x14ac:dyDescent="0.15">
      <c r="B546"/>
      <c r="C546"/>
      <c r="D546"/>
      <c r="E546"/>
      <c r="F546" s="7"/>
      <c r="G546" s="7"/>
      <c r="H546" s="7"/>
      <c r="I546" s="7"/>
      <c r="J546" s="7"/>
    </row>
    <row r="547" spans="2:10" x14ac:dyDescent="0.15">
      <c r="B547"/>
      <c r="C547"/>
      <c r="D547"/>
      <c r="E547"/>
      <c r="F547" s="7"/>
      <c r="G547" s="7"/>
      <c r="H547" s="7"/>
      <c r="I547" s="7"/>
      <c r="J547" s="7"/>
    </row>
    <row r="548" spans="2:10" x14ac:dyDescent="0.15">
      <c r="B548"/>
      <c r="C548"/>
      <c r="D548"/>
      <c r="E548"/>
      <c r="F548" s="7"/>
      <c r="G548" s="7"/>
      <c r="H548" s="7"/>
      <c r="I548" s="7"/>
      <c r="J548" s="7"/>
    </row>
    <row r="549" spans="2:10" x14ac:dyDescent="0.15">
      <c r="B549"/>
      <c r="C549"/>
      <c r="D549"/>
      <c r="E549"/>
      <c r="F549" s="7"/>
      <c r="G549" s="7"/>
      <c r="H549" s="7"/>
      <c r="I549" s="7"/>
      <c r="J549" s="7"/>
    </row>
    <row r="550" spans="2:10" x14ac:dyDescent="0.15">
      <c r="B550"/>
      <c r="C550"/>
      <c r="D550"/>
      <c r="E550"/>
      <c r="F550" s="7"/>
      <c r="G550" s="7"/>
      <c r="H550" s="7"/>
      <c r="I550" s="7"/>
      <c r="J550" s="7"/>
    </row>
    <row r="551" spans="2:10" x14ac:dyDescent="0.15">
      <c r="B551"/>
      <c r="C551"/>
      <c r="D551"/>
      <c r="E551"/>
      <c r="F551" s="7"/>
      <c r="G551" s="7"/>
      <c r="H551" s="7"/>
      <c r="I551" s="7"/>
      <c r="J551" s="7"/>
    </row>
    <row r="552" spans="2:10" x14ac:dyDescent="0.15">
      <c r="B552"/>
      <c r="C552"/>
      <c r="D552"/>
      <c r="E552"/>
      <c r="F552" s="7"/>
      <c r="G552" s="7"/>
      <c r="H552" s="7"/>
      <c r="I552" s="7"/>
      <c r="J552" s="7"/>
    </row>
    <row r="553" spans="2:10" x14ac:dyDescent="0.15">
      <c r="B553"/>
      <c r="C553"/>
      <c r="D553"/>
      <c r="E553"/>
      <c r="F553" s="7"/>
      <c r="G553" s="7"/>
      <c r="H553" s="7"/>
      <c r="I553" s="7"/>
      <c r="J553" s="7"/>
    </row>
    <row r="554" spans="2:10" x14ac:dyDescent="0.15">
      <c r="B554"/>
      <c r="C554"/>
      <c r="D554"/>
      <c r="E554"/>
      <c r="F554" s="7"/>
      <c r="G554" s="7"/>
      <c r="H554" s="7"/>
      <c r="I554" s="7"/>
      <c r="J554" s="7"/>
    </row>
    <row r="555" spans="2:10" x14ac:dyDescent="0.15">
      <c r="B555"/>
      <c r="C555"/>
      <c r="D555"/>
      <c r="E555"/>
      <c r="F555" s="7"/>
      <c r="G555" s="7"/>
      <c r="H555" s="7"/>
      <c r="I555" s="7"/>
      <c r="J555" s="7"/>
    </row>
    <row r="556" spans="2:10" x14ac:dyDescent="0.15">
      <c r="B556"/>
      <c r="C556"/>
      <c r="D556"/>
      <c r="E556"/>
      <c r="F556" s="7"/>
      <c r="G556" s="7"/>
      <c r="H556" s="7"/>
      <c r="I556" s="7"/>
      <c r="J556" s="7"/>
    </row>
    <row r="557" spans="2:10" x14ac:dyDescent="0.15">
      <c r="B557"/>
      <c r="C557"/>
      <c r="D557"/>
      <c r="E557"/>
      <c r="F557" s="7"/>
      <c r="G557" s="7"/>
      <c r="H557" s="7"/>
      <c r="I557" s="7"/>
      <c r="J557" s="7"/>
    </row>
    <row r="558" spans="2:10" x14ac:dyDescent="0.15">
      <c r="B558"/>
      <c r="C558"/>
      <c r="D558"/>
      <c r="E558"/>
      <c r="F558" s="7"/>
      <c r="G558" s="7"/>
      <c r="H558" s="7"/>
      <c r="I558" s="7"/>
      <c r="J558" s="7"/>
    </row>
    <row r="559" spans="2:10" x14ac:dyDescent="0.15">
      <c r="B559"/>
      <c r="C559"/>
      <c r="D559"/>
      <c r="E559"/>
      <c r="F559" s="7"/>
      <c r="G559" s="7"/>
      <c r="H559" s="7"/>
      <c r="I559" s="7"/>
      <c r="J559" s="7"/>
    </row>
    <row r="560" spans="2:10" x14ac:dyDescent="0.15">
      <c r="B560"/>
      <c r="C560"/>
      <c r="D560"/>
      <c r="E560"/>
      <c r="F560" s="7"/>
      <c r="G560" s="7"/>
      <c r="H560" s="7"/>
      <c r="I560" s="7"/>
      <c r="J560" s="7"/>
    </row>
    <row r="561" spans="2:10" x14ac:dyDescent="0.15">
      <c r="B561"/>
      <c r="C561"/>
      <c r="D561"/>
      <c r="E561"/>
      <c r="F561" s="7"/>
      <c r="G561" s="7"/>
      <c r="H561" s="7"/>
      <c r="I561" s="7"/>
      <c r="J561" s="7"/>
    </row>
    <row r="562" spans="2:10" x14ac:dyDescent="0.15">
      <c r="B562"/>
      <c r="C562"/>
      <c r="D562"/>
      <c r="E562"/>
      <c r="F562" s="7"/>
      <c r="G562" s="7"/>
      <c r="H562" s="7"/>
      <c r="I562" s="7"/>
      <c r="J562" s="7"/>
    </row>
    <row r="563" spans="2:10" x14ac:dyDescent="0.15">
      <c r="B563"/>
      <c r="C563"/>
      <c r="D563"/>
      <c r="E563"/>
      <c r="F563" s="7"/>
      <c r="G563" s="7"/>
      <c r="H563" s="7"/>
      <c r="I563" s="7"/>
      <c r="J563" s="7"/>
    </row>
    <row r="564" spans="2:10" x14ac:dyDescent="0.15">
      <c r="B564"/>
      <c r="C564"/>
      <c r="D564"/>
      <c r="E564"/>
      <c r="F564" s="7"/>
      <c r="G564" s="7"/>
      <c r="H564" s="7"/>
      <c r="I564" s="7"/>
      <c r="J564" s="7"/>
    </row>
    <row r="565" spans="2:10" x14ac:dyDescent="0.15">
      <c r="B565"/>
      <c r="C565"/>
      <c r="D565"/>
      <c r="E565"/>
      <c r="F565" s="7"/>
      <c r="G565" s="7"/>
      <c r="H565" s="7"/>
      <c r="I565" s="7"/>
      <c r="J565" s="7"/>
    </row>
    <row r="566" spans="2:10" x14ac:dyDescent="0.15">
      <c r="B566"/>
      <c r="C566"/>
      <c r="D566"/>
      <c r="E566"/>
      <c r="F566" s="7"/>
      <c r="G566" s="7"/>
      <c r="H566" s="7"/>
      <c r="I566" s="7"/>
      <c r="J566" s="7"/>
    </row>
    <row r="567" spans="2:10" x14ac:dyDescent="0.15">
      <c r="B567"/>
      <c r="C567"/>
      <c r="D567"/>
      <c r="E567"/>
      <c r="F567" s="7"/>
      <c r="G567" s="7"/>
      <c r="H567" s="7"/>
      <c r="I567" s="7"/>
      <c r="J567" s="7"/>
    </row>
    <row r="568" spans="2:10" x14ac:dyDescent="0.15">
      <c r="B568"/>
      <c r="C568"/>
      <c r="D568"/>
      <c r="E568"/>
      <c r="F568" s="7"/>
      <c r="G568" s="7"/>
      <c r="H568" s="7"/>
      <c r="I568" s="7"/>
      <c r="J568" s="7"/>
    </row>
    <row r="569" spans="2:10" x14ac:dyDescent="0.15">
      <c r="B569"/>
      <c r="C569"/>
      <c r="D569"/>
      <c r="E569"/>
      <c r="F569" s="7"/>
      <c r="G569" s="7"/>
      <c r="H569" s="7"/>
      <c r="I569" s="7"/>
      <c r="J569" s="7"/>
    </row>
    <row r="570" spans="2:10" x14ac:dyDescent="0.15">
      <c r="B570"/>
      <c r="C570"/>
      <c r="D570"/>
      <c r="E570"/>
      <c r="F570" s="7"/>
      <c r="G570" s="7"/>
      <c r="H570" s="7"/>
      <c r="I570" s="7"/>
      <c r="J570" s="7"/>
    </row>
    <row r="571" spans="2:10" x14ac:dyDescent="0.15">
      <c r="B571"/>
      <c r="C571"/>
      <c r="D571"/>
      <c r="E571"/>
      <c r="F571" s="7"/>
      <c r="G571" s="7"/>
      <c r="H571" s="7"/>
      <c r="I571" s="7"/>
      <c r="J571" s="7"/>
    </row>
    <row r="572" spans="2:10" x14ac:dyDescent="0.15">
      <c r="B572"/>
      <c r="C572"/>
      <c r="D572"/>
      <c r="E572"/>
      <c r="F572" s="7"/>
      <c r="G572" s="7"/>
      <c r="H572" s="7"/>
      <c r="I572" s="7"/>
      <c r="J572" s="7"/>
    </row>
    <row r="573" spans="2:10" x14ac:dyDescent="0.15">
      <c r="B573"/>
      <c r="C573"/>
      <c r="D573"/>
      <c r="E573"/>
      <c r="F573" s="7"/>
      <c r="G573" s="7"/>
      <c r="H573" s="7"/>
      <c r="I573" s="7"/>
      <c r="J573" s="7"/>
    </row>
    <row r="574" spans="2:10" x14ac:dyDescent="0.15">
      <c r="B574"/>
      <c r="C574"/>
      <c r="D574"/>
      <c r="E574"/>
      <c r="F574" s="7"/>
      <c r="G574" s="7"/>
      <c r="H574" s="7"/>
      <c r="I574" s="7"/>
      <c r="J574" s="7"/>
    </row>
    <row r="575" spans="2:10" x14ac:dyDescent="0.15">
      <c r="B575"/>
      <c r="C575"/>
      <c r="D575"/>
      <c r="E575"/>
      <c r="F575" s="7"/>
      <c r="G575" s="7"/>
      <c r="H575" s="7"/>
      <c r="I575" s="7"/>
      <c r="J575" s="7"/>
    </row>
    <row r="576" spans="2:10" x14ac:dyDescent="0.15">
      <c r="B576"/>
      <c r="C576"/>
      <c r="D576"/>
      <c r="E576"/>
      <c r="F576" s="7"/>
      <c r="G576" s="7"/>
      <c r="H576" s="7"/>
      <c r="I576" s="7"/>
      <c r="J576" s="7"/>
    </row>
    <row r="577" spans="2:10" x14ac:dyDescent="0.15">
      <c r="B577"/>
      <c r="C577"/>
      <c r="D577"/>
      <c r="E577"/>
      <c r="F577" s="7"/>
      <c r="G577" s="7"/>
      <c r="H577" s="7"/>
      <c r="I577" s="7"/>
      <c r="J577" s="7"/>
    </row>
    <row r="578" spans="2:10" x14ac:dyDescent="0.15">
      <c r="B578"/>
      <c r="C578"/>
      <c r="D578"/>
      <c r="E578"/>
      <c r="F578" s="7"/>
      <c r="G578" s="7"/>
      <c r="H578" s="7"/>
      <c r="I578" s="7"/>
      <c r="J578" s="7"/>
    </row>
    <row r="579" spans="2:10" x14ac:dyDescent="0.15">
      <c r="B579"/>
      <c r="C579"/>
      <c r="D579"/>
      <c r="E579"/>
      <c r="F579" s="7"/>
      <c r="G579" s="7"/>
      <c r="H579" s="7"/>
      <c r="I579" s="7"/>
      <c r="J579" s="7"/>
    </row>
    <row r="580" spans="2:10" x14ac:dyDescent="0.15">
      <c r="B580"/>
      <c r="C580"/>
      <c r="D580"/>
      <c r="E580"/>
      <c r="F580" s="7"/>
      <c r="G580" s="7"/>
      <c r="H580" s="7"/>
      <c r="I580" s="7"/>
      <c r="J580" s="7"/>
    </row>
    <row r="581" spans="2:10" x14ac:dyDescent="0.15">
      <c r="B581"/>
      <c r="C581"/>
      <c r="D581"/>
      <c r="E581"/>
      <c r="F581" s="7"/>
      <c r="G581" s="7"/>
      <c r="H581" s="7"/>
      <c r="I581" s="7"/>
      <c r="J581" s="7"/>
    </row>
    <row r="582" spans="2:10" x14ac:dyDescent="0.15">
      <c r="B582"/>
      <c r="C582"/>
      <c r="D582"/>
      <c r="E582"/>
      <c r="F582" s="7"/>
      <c r="G582" s="7"/>
      <c r="H582" s="7"/>
      <c r="I582" s="7"/>
      <c r="J582" s="7"/>
    </row>
    <row r="583" spans="2:10" x14ac:dyDescent="0.15">
      <c r="B583"/>
      <c r="C583"/>
      <c r="D583"/>
      <c r="E583"/>
      <c r="F583" s="7"/>
      <c r="G583" s="7"/>
      <c r="H583" s="7"/>
      <c r="I583" s="7"/>
      <c r="J583" s="7"/>
    </row>
    <row r="584" spans="2:10" x14ac:dyDescent="0.15">
      <c r="B584"/>
      <c r="C584"/>
      <c r="D584"/>
      <c r="E584"/>
      <c r="F584" s="7"/>
      <c r="G584" s="7"/>
      <c r="H584" s="7"/>
      <c r="I584" s="7"/>
      <c r="J584" s="7"/>
    </row>
    <row r="585" spans="2:10" x14ac:dyDescent="0.15">
      <c r="B585"/>
      <c r="C585"/>
      <c r="D585"/>
      <c r="E585"/>
      <c r="F585" s="7"/>
      <c r="G585" s="7"/>
      <c r="H585" s="7"/>
      <c r="I585" s="7"/>
      <c r="J585" s="7"/>
    </row>
    <row r="586" spans="2:10" x14ac:dyDescent="0.15">
      <c r="B586"/>
      <c r="C586"/>
      <c r="D586"/>
      <c r="E586"/>
      <c r="F586" s="7"/>
      <c r="G586" s="7"/>
      <c r="H586" s="7"/>
      <c r="I586" s="7"/>
      <c r="J586" s="7"/>
    </row>
    <row r="587" spans="2:10" x14ac:dyDescent="0.15">
      <c r="B587"/>
      <c r="C587"/>
      <c r="D587"/>
      <c r="E587"/>
      <c r="F587" s="7"/>
      <c r="G587" s="7"/>
      <c r="H587" s="7"/>
      <c r="I587" s="7"/>
      <c r="J587" s="7"/>
    </row>
    <row r="588" spans="2:10" x14ac:dyDescent="0.15">
      <c r="B588"/>
      <c r="C588"/>
      <c r="D588"/>
      <c r="E588"/>
      <c r="F588" s="7"/>
      <c r="G588" s="7"/>
      <c r="H588" s="7"/>
      <c r="I588" s="7"/>
      <c r="J588" s="7"/>
    </row>
    <row r="589" spans="2:10" x14ac:dyDescent="0.15">
      <c r="B589"/>
      <c r="C589"/>
      <c r="D589"/>
      <c r="E589"/>
      <c r="F589" s="7"/>
      <c r="G589" s="7"/>
      <c r="H589" s="7"/>
      <c r="I589" s="7"/>
      <c r="J589" s="7"/>
    </row>
    <row r="590" spans="2:10" x14ac:dyDescent="0.15">
      <c r="B590"/>
      <c r="C590"/>
      <c r="D590"/>
      <c r="E590"/>
      <c r="F590" s="7"/>
      <c r="G590" s="7"/>
      <c r="H590" s="7"/>
      <c r="I590" s="7"/>
      <c r="J590" s="7"/>
    </row>
    <row r="591" spans="2:10" x14ac:dyDescent="0.15">
      <c r="B591"/>
      <c r="C591"/>
      <c r="D591"/>
      <c r="E591"/>
      <c r="F591" s="7"/>
      <c r="G591" s="7"/>
      <c r="H591" s="7"/>
      <c r="I591" s="7"/>
      <c r="J591" s="7"/>
    </row>
    <row r="592" spans="2:10" x14ac:dyDescent="0.15">
      <c r="B592"/>
      <c r="C592"/>
      <c r="D592"/>
      <c r="E592"/>
      <c r="F592" s="7"/>
      <c r="G592" s="7"/>
      <c r="H592" s="7"/>
      <c r="I592" s="7"/>
      <c r="J592" s="7"/>
    </row>
    <row r="593" spans="2:10" x14ac:dyDescent="0.15">
      <c r="B593"/>
      <c r="C593"/>
      <c r="D593"/>
      <c r="E593"/>
      <c r="F593" s="7"/>
      <c r="G593" s="7"/>
      <c r="H593" s="7"/>
      <c r="I593" s="7"/>
      <c r="J593" s="7"/>
    </row>
    <row r="594" spans="2:10" x14ac:dyDescent="0.15">
      <c r="B594"/>
      <c r="C594"/>
      <c r="D594"/>
      <c r="E594"/>
      <c r="F594" s="7"/>
      <c r="G594" s="7"/>
      <c r="H594" s="7"/>
      <c r="I594" s="7"/>
      <c r="J594" s="7"/>
    </row>
    <row r="595" spans="2:10" x14ac:dyDescent="0.15">
      <c r="B595"/>
      <c r="C595"/>
      <c r="D595"/>
      <c r="E595"/>
      <c r="F595" s="7"/>
      <c r="G595" s="7"/>
      <c r="H595" s="7"/>
      <c r="I595" s="7"/>
      <c r="J595" s="7"/>
    </row>
    <row r="596" spans="2:10" x14ac:dyDescent="0.15">
      <c r="B596"/>
      <c r="C596"/>
      <c r="D596"/>
      <c r="E596"/>
      <c r="F596" s="7"/>
      <c r="G596" s="7"/>
      <c r="H596" s="7"/>
      <c r="I596" s="7"/>
      <c r="J596" s="7"/>
    </row>
    <row r="597" spans="2:10" x14ac:dyDescent="0.15">
      <c r="B597"/>
      <c r="C597"/>
      <c r="D597"/>
      <c r="E597"/>
      <c r="F597" s="7"/>
      <c r="G597" s="7"/>
      <c r="H597" s="7"/>
      <c r="I597" s="7"/>
      <c r="J597" s="7"/>
    </row>
    <row r="598" spans="2:10" x14ac:dyDescent="0.15">
      <c r="B598"/>
      <c r="C598"/>
      <c r="D598"/>
      <c r="E598"/>
      <c r="F598" s="7"/>
      <c r="G598" s="7"/>
      <c r="H598" s="7"/>
      <c r="I598" s="7"/>
      <c r="J598" s="7"/>
    </row>
    <row r="599" spans="2:10" x14ac:dyDescent="0.15">
      <c r="B599"/>
      <c r="C599"/>
      <c r="D599"/>
      <c r="E599"/>
      <c r="F599" s="7"/>
      <c r="G599" s="7"/>
      <c r="H599" s="7"/>
      <c r="I599" s="7"/>
      <c r="J599" s="7"/>
    </row>
    <row r="600" spans="2:10" x14ac:dyDescent="0.15">
      <c r="B600"/>
      <c r="C600"/>
      <c r="D600"/>
      <c r="E600"/>
      <c r="F600" s="7"/>
      <c r="G600" s="7"/>
      <c r="H600" s="7"/>
      <c r="I600" s="7"/>
      <c r="J600" s="7"/>
    </row>
    <row r="601" spans="2:10" x14ac:dyDescent="0.15">
      <c r="B601"/>
      <c r="C601"/>
      <c r="D601"/>
      <c r="E601"/>
      <c r="F601" s="7"/>
      <c r="G601" s="7"/>
      <c r="H601" s="7"/>
      <c r="I601" s="7"/>
      <c r="J601" s="7"/>
    </row>
    <row r="602" spans="2:10" x14ac:dyDescent="0.15">
      <c r="B602"/>
      <c r="C602"/>
      <c r="D602"/>
      <c r="E602"/>
      <c r="F602" s="7"/>
      <c r="G602" s="7"/>
      <c r="H602" s="7"/>
      <c r="I602" s="7"/>
      <c r="J602" s="7"/>
    </row>
    <row r="603" spans="2:10" x14ac:dyDescent="0.15">
      <c r="B603"/>
      <c r="C603"/>
      <c r="D603"/>
      <c r="E603"/>
      <c r="F603" s="7"/>
      <c r="G603" s="7"/>
      <c r="H603" s="7"/>
      <c r="I603" s="7"/>
      <c r="J603" s="7"/>
    </row>
    <row r="604" spans="2:10" x14ac:dyDescent="0.15">
      <c r="B604"/>
      <c r="C604"/>
      <c r="D604"/>
      <c r="E604"/>
      <c r="F604" s="7"/>
      <c r="G604" s="7"/>
      <c r="H604" s="7"/>
      <c r="I604" s="7"/>
      <c r="J604" s="7"/>
    </row>
    <row r="605" spans="2:10" x14ac:dyDescent="0.15">
      <c r="B605"/>
      <c r="C605"/>
      <c r="D605"/>
      <c r="E605"/>
      <c r="F605" s="7"/>
      <c r="G605" s="7"/>
      <c r="H605" s="7"/>
      <c r="I605" s="7"/>
      <c r="J605" s="7"/>
    </row>
    <row r="606" spans="2:10" x14ac:dyDescent="0.15">
      <c r="B606"/>
      <c r="C606"/>
      <c r="D606"/>
      <c r="E606"/>
      <c r="F606" s="7"/>
      <c r="G606" s="7"/>
      <c r="H606" s="7"/>
      <c r="I606" s="7"/>
      <c r="J606" s="7"/>
    </row>
    <row r="607" spans="2:10" x14ac:dyDescent="0.15">
      <c r="B607"/>
      <c r="C607"/>
      <c r="D607"/>
      <c r="E607"/>
      <c r="F607" s="7"/>
      <c r="G607" s="7"/>
      <c r="H607" s="7"/>
      <c r="I607" s="7"/>
      <c r="J607" s="7"/>
    </row>
    <row r="608" spans="2:10" x14ac:dyDescent="0.15">
      <c r="B608"/>
      <c r="C608"/>
      <c r="D608"/>
      <c r="E608"/>
      <c r="F608" s="7"/>
      <c r="G608" s="7"/>
      <c r="H608" s="7"/>
      <c r="I608" s="7"/>
      <c r="J608" s="7"/>
    </row>
    <row r="609" spans="2:10" x14ac:dyDescent="0.15">
      <c r="B609"/>
      <c r="C609"/>
      <c r="D609"/>
      <c r="E609"/>
      <c r="F609" s="7"/>
      <c r="G609" s="7"/>
      <c r="H609" s="7"/>
      <c r="I609" s="7"/>
      <c r="J609" s="7"/>
    </row>
    <row r="610" spans="2:10" x14ac:dyDescent="0.15">
      <c r="B610"/>
      <c r="C610"/>
      <c r="D610"/>
      <c r="E610"/>
      <c r="F610" s="7"/>
      <c r="G610" s="7"/>
      <c r="H610" s="7"/>
      <c r="I610" s="7"/>
      <c r="J610" s="7"/>
    </row>
    <row r="611" spans="2:10" x14ac:dyDescent="0.15">
      <c r="B611"/>
      <c r="C611"/>
      <c r="D611"/>
      <c r="E611"/>
      <c r="F611" s="7"/>
      <c r="G611" s="7"/>
      <c r="H611" s="7"/>
      <c r="I611" s="7"/>
      <c r="J611" s="7"/>
    </row>
    <row r="612" spans="2:10" x14ac:dyDescent="0.15">
      <c r="B612"/>
      <c r="C612"/>
      <c r="D612"/>
      <c r="E612"/>
      <c r="F612" s="7"/>
      <c r="G612" s="7"/>
      <c r="H612" s="7"/>
      <c r="I612" s="7"/>
      <c r="J612" s="7"/>
    </row>
    <row r="613" spans="2:10" x14ac:dyDescent="0.15">
      <c r="B613"/>
      <c r="C613"/>
      <c r="D613"/>
      <c r="E613"/>
      <c r="F613" s="7"/>
      <c r="G613" s="7"/>
      <c r="H613" s="7"/>
      <c r="I613" s="7"/>
      <c r="J613" s="7"/>
    </row>
    <row r="614" spans="2:10" x14ac:dyDescent="0.15">
      <c r="B614"/>
      <c r="C614"/>
      <c r="D614"/>
      <c r="E614"/>
      <c r="F614" s="7"/>
      <c r="G614" s="7"/>
      <c r="H614" s="7"/>
      <c r="I614" s="7"/>
      <c r="J614" s="7"/>
    </row>
    <row r="615" spans="2:10" x14ac:dyDescent="0.15">
      <c r="B615"/>
      <c r="C615"/>
      <c r="D615"/>
      <c r="E615"/>
      <c r="F615" s="7"/>
      <c r="G615" s="7"/>
      <c r="H615" s="7"/>
      <c r="I615" s="7"/>
      <c r="J615" s="7"/>
    </row>
    <row r="616" spans="2:10" x14ac:dyDescent="0.15">
      <c r="B616"/>
      <c r="C616"/>
      <c r="D616"/>
      <c r="E616"/>
      <c r="F616" s="7"/>
      <c r="G616" s="7"/>
      <c r="H616" s="7"/>
      <c r="I616" s="7"/>
      <c r="J616" s="7"/>
    </row>
    <row r="617" spans="2:10" x14ac:dyDescent="0.15">
      <c r="B617"/>
      <c r="C617"/>
      <c r="D617"/>
      <c r="E617"/>
      <c r="F617" s="7"/>
      <c r="G617" s="7"/>
      <c r="H617" s="7"/>
      <c r="I617" s="7"/>
      <c r="J617" s="7"/>
    </row>
    <row r="618" spans="2:10" x14ac:dyDescent="0.15">
      <c r="B618"/>
      <c r="C618"/>
      <c r="D618"/>
      <c r="E618"/>
      <c r="F618" s="7"/>
      <c r="G618" s="7"/>
      <c r="H618" s="7"/>
      <c r="I618" s="7"/>
      <c r="J618" s="7"/>
    </row>
    <row r="619" spans="2:10" x14ac:dyDescent="0.15">
      <c r="B619"/>
      <c r="C619"/>
      <c r="D619"/>
      <c r="E619"/>
      <c r="F619" s="7"/>
      <c r="G619" s="7"/>
      <c r="H619" s="7"/>
      <c r="I619" s="7"/>
      <c r="J619" s="7"/>
    </row>
    <row r="620" spans="2:10" x14ac:dyDescent="0.15">
      <c r="B620"/>
      <c r="C620"/>
      <c r="D620"/>
      <c r="E620"/>
      <c r="F620" s="7"/>
      <c r="G620" s="7"/>
      <c r="H620" s="7"/>
      <c r="I620" s="7"/>
      <c r="J620" s="7"/>
    </row>
    <row r="621" spans="2:10" x14ac:dyDescent="0.15">
      <c r="B621"/>
      <c r="C621"/>
      <c r="D621"/>
      <c r="E621"/>
      <c r="F621" s="7"/>
      <c r="G621" s="7"/>
      <c r="H621" s="7"/>
      <c r="I621" s="7"/>
      <c r="J621" s="7"/>
    </row>
    <row r="622" spans="2:10" x14ac:dyDescent="0.15">
      <c r="B622"/>
      <c r="C622"/>
      <c r="D622"/>
      <c r="E622"/>
      <c r="F622" s="7"/>
      <c r="G622" s="7"/>
      <c r="H622" s="7"/>
      <c r="I622" s="7"/>
      <c r="J622" s="7"/>
    </row>
    <row r="623" spans="2:10" x14ac:dyDescent="0.15">
      <c r="B623"/>
      <c r="C623"/>
      <c r="D623"/>
      <c r="E623"/>
      <c r="F623" s="7"/>
      <c r="G623" s="7"/>
      <c r="H623" s="7"/>
      <c r="I623" s="7"/>
      <c r="J623" s="7"/>
    </row>
    <row r="624" spans="2:10" x14ac:dyDescent="0.15">
      <c r="B624"/>
      <c r="C624"/>
      <c r="D624"/>
      <c r="E624"/>
      <c r="F624" s="7"/>
      <c r="G624" s="7"/>
      <c r="H624" s="7"/>
      <c r="I624" s="7"/>
      <c r="J624" s="7"/>
    </row>
    <row r="625" spans="2:10" x14ac:dyDescent="0.15">
      <c r="B625"/>
      <c r="C625"/>
      <c r="D625"/>
      <c r="E625"/>
      <c r="F625" s="7"/>
      <c r="G625" s="7"/>
      <c r="H625" s="7"/>
      <c r="I625" s="7"/>
      <c r="J625" s="7"/>
    </row>
    <row r="626" spans="2:10" x14ac:dyDescent="0.15">
      <c r="B626"/>
      <c r="C626"/>
      <c r="D626"/>
      <c r="E626"/>
      <c r="F626" s="7"/>
      <c r="G626" s="7"/>
      <c r="H626" s="7"/>
      <c r="I626" s="7"/>
      <c r="J626" s="7"/>
    </row>
    <row r="627" spans="2:10" x14ac:dyDescent="0.15">
      <c r="B627"/>
      <c r="C627"/>
      <c r="D627"/>
      <c r="E627"/>
      <c r="F627" s="7"/>
      <c r="G627" s="7"/>
      <c r="H627" s="7"/>
      <c r="I627" s="7"/>
      <c r="J627" s="7"/>
    </row>
    <row r="628" spans="2:10" x14ac:dyDescent="0.15">
      <c r="B628"/>
      <c r="C628"/>
      <c r="D628"/>
      <c r="E628"/>
      <c r="F628" s="7"/>
      <c r="G628" s="7"/>
      <c r="H628" s="7"/>
      <c r="I628" s="7"/>
      <c r="J628" s="7"/>
    </row>
    <row r="629" spans="2:10" x14ac:dyDescent="0.15">
      <c r="B629"/>
      <c r="C629"/>
      <c r="D629"/>
      <c r="E629"/>
      <c r="F629" s="7"/>
      <c r="G629" s="7"/>
      <c r="H629" s="7"/>
      <c r="I629" s="7"/>
      <c r="J629" s="7"/>
    </row>
    <row r="630" spans="2:10" x14ac:dyDescent="0.15">
      <c r="B630"/>
      <c r="C630"/>
      <c r="D630"/>
      <c r="E630"/>
      <c r="F630" s="7"/>
      <c r="G630" s="7"/>
      <c r="H630" s="7"/>
      <c r="I630" s="7"/>
      <c r="J630" s="7"/>
    </row>
    <row r="631" spans="2:10" x14ac:dyDescent="0.15">
      <c r="B631"/>
      <c r="C631"/>
      <c r="D631"/>
      <c r="E631"/>
      <c r="F631" s="7"/>
      <c r="G631" s="7"/>
      <c r="H631" s="7"/>
      <c r="I631" s="7"/>
      <c r="J631" s="7"/>
    </row>
    <row r="632" spans="2:10" x14ac:dyDescent="0.15">
      <c r="B632"/>
      <c r="C632"/>
      <c r="D632"/>
      <c r="E632"/>
      <c r="F632" s="7"/>
      <c r="G632" s="7"/>
      <c r="H632" s="7"/>
      <c r="I632" s="7"/>
      <c r="J632" s="7"/>
    </row>
    <row r="633" spans="2:10" x14ac:dyDescent="0.15">
      <c r="B633"/>
      <c r="C633"/>
      <c r="D633"/>
      <c r="E633"/>
      <c r="F633" s="7"/>
      <c r="G633" s="7"/>
      <c r="H633" s="7"/>
      <c r="I633" s="7"/>
      <c r="J633" s="7"/>
    </row>
    <row r="634" spans="2:10" x14ac:dyDescent="0.15">
      <c r="B634"/>
      <c r="C634"/>
      <c r="D634"/>
      <c r="E634"/>
      <c r="F634" s="7"/>
      <c r="G634" s="7"/>
      <c r="H634" s="7"/>
      <c r="I634" s="7"/>
      <c r="J634" s="7"/>
    </row>
    <row r="635" spans="2:10" x14ac:dyDescent="0.15">
      <c r="B635"/>
      <c r="C635"/>
      <c r="D635"/>
      <c r="E635"/>
      <c r="F635" s="7"/>
      <c r="G635" s="7"/>
      <c r="H635" s="7"/>
      <c r="I635" s="7"/>
      <c r="J635" s="7"/>
    </row>
    <row r="636" spans="2:10" x14ac:dyDescent="0.15">
      <c r="B636"/>
      <c r="C636"/>
      <c r="D636"/>
      <c r="E636"/>
      <c r="F636" s="7"/>
      <c r="G636" s="7"/>
      <c r="H636" s="7"/>
      <c r="I636" s="7"/>
      <c r="J636" s="7"/>
    </row>
    <row r="637" spans="2:10" x14ac:dyDescent="0.15">
      <c r="B637"/>
      <c r="C637"/>
      <c r="D637"/>
      <c r="E637"/>
      <c r="F637" s="7"/>
      <c r="G637" s="7"/>
      <c r="H637" s="7"/>
      <c r="I637" s="7"/>
      <c r="J637" s="7"/>
    </row>
    <row r="638" spans="2:10" x14ac:dyDescent="0.15">
      <c r="B638"/>
      <c r="C638"/>
      <c r="D638"/>
      <c r="E638"/>
      <c r="F638" s="7"/>
      <c r="G638" s="7"/>
      <c r="H638" s="7"/>
      <c r="I638" s="7"/>
      <c r="J638" s="7"/>
    </row>
    <row r="639" spans="2:10" x14ac:dyDescent="0.15">
      <c r="B639"/>
      <c r="C639"/>
      <c r="D639"/>
      <c r="E639"/>
      <c r="F639" s="7"/>
      <c r="G639" s="7"/>
      <c r="H639" s="7"/>
      <c r="I639" s="7"/>
      <c r="J639" s="7"/>
    </row>
    <row r="640" spans="2:10" x14ac:dyDescent="0.15">
      <c r="B640"/>
      <c r="C640"/>
      <c r="D640"/>
      <c r="E640"/>
      <c r="F640" s="7"/>
      <c r="G640" s="7"/>
      <c r="H640" s="7"/>
      <c r="I640" s="7"/>
      <c r="J640" s="7"/>
    </row>
    <row r="641" spans="2:10" x14ac:dyDescent="0.15">
      <c r="B641"/>
      <c r="C641"/>
      <c r="D641"/>
      <c r="E641"/>
      <c r="F641" s="7"/>
      <c r="G641" s="7"/>
      <c r="H641" s="7"/>
      <c r="I641" s="7"/>
      <c r="J641" s="7"/>
    </row>
    <row r="642" spans="2:10" x14ac:dyDescent="0.15">
      <c r="B642"/>
      <c r="C642"/>
      <c r="D642"/>
      <c r="E642"/>
      <c r="F642" s="7"/>
      <c r="G642" s="7"/>
      <c r="H642" s="7"/>
      <c r="I642" s="7"/>
      <c r="J642" s="7"/>
    </row>
    <row r="643" spans="2:10" x14ac:dyDescent="0.15">
      <c r="B643"/>
      <c r="C643"/>
      <c r="D643"/>
      <c r="E643"/>
      <c r="F643" s="7"/>
      <c r="G643" s="7"/>
      <c r="H643" s="7"/>
      <c r="I643" s="7"/>
      <c r="J643" s="7"/>
    </row>
    <row r="644" spans="2:10" x14ac:dyDescent="0.15">
      <c r="B644"/>
      <c r="C644"/>
      <c r="D644"/>
      <c r="E644"/>
      <c r="F644" s="7"/>
      <c r="G644" s="7"/>
      <c r="H644" s="7"/>
      <c r="I644" s="7"/>
      <c r="J644" s="7"/>
    </row>
    <row r="645" spans="2:10" x14ac:dyDescent="0.15">
      <c r="B645"/>
      <c r="C645"/>
      <c r="D645"/>
      <c r="E645"/>
      <c r="F645" s="7"/>
      <c r="G645" s="7"/>
      <c r="H645" s="7"/>
      <c r="I645" s="7"/>
      <c r="J645" s="7"/>
    </row>
    <row r="646" spans="2:10" x14ac:dyDescent="0.15">
      <c r="B646"/>
      <c r="C646"/>
      <c r="D646"/>
      <c r="E646"/>
      <c r="F646" s="7"/>
      <c r="G646" s="7"/>
      <c r="H646" s="7"/>
      <c r="I646" s="7"/>
      <c r="J646" s="7"/>
    </row>
    <row r="647" spans="2:10" x14ac:dyDescent="0.15">
      <c r="B647"/>
      <c r="C647"/>
      <c r="D647"/>
      <c r="E647"/>
      <c r="F647" s="7"/>
      <c r="G647" s="7"/>
      <c r="H647" s="7"/>
      <c r="I647" s="7"/>
      <c r="J647" s="7"/>
    </row>
    <row r="648" spans="2:10" x14ac:dyDescent="0.15">
      <c r="B648"/>
      <c r="C648"/>
      <c r="D648"/>
      <c r="E648"/>
      <c r="F648" s="7"/>
      <c r="G648" s="7"/>
      <c r="H648" s="7"/>
      <c r="I648" s="7"/>
      <c r="J648" s="7"/>
    </row>
    <row r="649" spans="2:10" x14ac:dyDescent="0.15">
      <c r="B649"/>
      <c r="C649"/>
      <c r="D649"/>
      <c r="E649"/>
      <c r="F649" s="7"/>
      <c r="G649" s="7"/>
      <c r="H649" s="7"/>
      <c r="I649" s="7"/>
      <c r="J649" s="7"/>
    </row>
    <row r="650" spans="2:10" x14ac:dyDescent="0.15">
      <c r="B650"/>
      <c r="C650"/>
      <c r="D650"/>
      <c r="E650"/>
      <c r="F650" s="7"/>
      <c r="G650" s="7"/>
      <c r="H650" s="7"/>
      <c r="I650" s="7"/>
      <c r="J650" s="7"/>
    </row>
    <row r="651" spans="2:10" x14ac:dyDescent="0.15">
      <c r="B651"/>
      <c r="C651"/>
      <c r="D651"/>
      <c r="E651"/>
      <c r="F651" s="7"/>
      <c r="G651" s="7"/>
      <c r="H651" s="7"/>
      <c r="I651" s="7"/>
      <c r="J651" s="7"/>
    </row>
    <row r="652" spans="2:10" x14ac:dyDescent="0.15">
      <c r="B652"/>
      <c r="C652"/>
      <c r="D652"/>
      <c r="E652"/>
      <c r="F652" s="7"/>
      <c r="G652" s="7"/>
      <c r="H652" s="7"/>
      <c r="I652" s="7"/>
      <c r="J652" s="7"/>
    </row>
    <row r="653" spans="2:10" x14ac:dyDescent="0.15">
      <c r="B653"/>
      <c r="C653"/>
      <c r="D653"/>
      <c r="E653"/>
      <c r="F653" s="7"/>
      <c r="G653" s="7"/>
      <c r="H653" s="7"/>
      <c r="I653" s="7"/>
      <c r="J653" s="7"/>
    </row>
    <row r="654" spans="2:10" x14ac:dyDescent="0.15">
      <c r="B654"/>
      <c r="C654"/>
      <c r="D654"/>
      <c r="E654"/>
      <c r="F654" s="7"/>
      <c r="G654" s="7"/>
      <c r="H654" s="7"/>
      <c r="I654" s="7"/>
      <c r="J654" s="7"/>
    </row>
    <row r="655" spans="2:10" x14ac:dyDescent="0.15">
      <c r="B655"/>
      <c r="C655"/>
      <c r="D655"/>
      <c r="E655"/>
      <c r="F655" s="7"/>
      <c r="G655" s="7"/>
      <c r="H655" s="7"/>
      <c r="I655" s="7"/>
      <c r="J655" s="7"/>
    </row>
    <row r="656" spans="2:10" x14ac:dyDescent="0.15">
      <c r="B656"/>
      <c r="C656"/>
      <c r="D656"/>
      <c r="E656"/>
      <c r="F656" s="7"/>
      <c r="G656" s="7"/>
      <c r="H656" s="7"/>
      <c r="I656" s="7"/>
      <c r="J656" s="7"/>
    </row>
    <row r="657" spans="2:10" x14ac:dyDescent="0.15">
      <c r="B657"/>
      <c r="C657"/>
      <c r="D657"/>
      <c r="E657"/>
      <c r="F657" s="7"/>
      <c r="G657" s="7"/>
      <c r="H657" s="7"/>
      <c r="I657" s="7"/>
      <c r="J657" s="7"/>
    </row>
    <row r="658" spans="2:10" x14ac:dyDescent="0.15">
      <c r="B658"/>
      <c r="C658"/>
      <c r="D658"/>
      <c r="E658"/>
      <c r="F658" s="7"/>
      <c r="G658" s="7"/>
      <c r="H658" s="7"/>
      <c r="I658" s="7"/>
      <c r="J658" s="7"/>
    </row>
    <row r="659" spans="2:10" x14ac:dyDescent="0.15">
      <c r="B659"/>
      <c r="C659"/>
      <c r="D659"/>
      <c r="E659"/>
      <c r="F659" s="7"/>
      <c r="G659" s="7"/>
      <c r="H659" s="7"/>
      <c r="I659" s="7"/>
      <c r="J659" s="7"/>
    </row>
    <row r="660" spans="2:10" x14ac:dyDescent="0.15">
      <c r="B660"/>
      <c r="C660"/>
      <c r="D660"/>
      <c r="E660"/>
      <c r="F660" s="7"/>
      <c r="G660" s="7"/>
      <c r="H660" s="7"/>
      <c r="I660" s="7"/>
      <c r="J660" s="7"/>
    </row>
    <row r="661" spans="2:10" x14ac:dyDescent="0.15">
      <c r="B661"/>
      <c r="C661"/>
      <c r="D661"/>
      <c r="E661"/>
      <c r="F661" s="7"/>
      <c r="G661" s="7"/>
      <c r="H661" s="7"/>
      <c r="I661" s="7"/>
      <c r="J661" s="7"/>
    </row>
    <row r="662" spans="2:10" x14ac:dyDescent="0.15">
      <c r="B662"/>
      <c r="C662"/>
      <c r="D662"/>
      <c r="E662"/>
      <c r="F662" s="7"/>
      <c r="G662" s="7"/>
      <c r="H662" s="7"/>
      <c r="I662" s="7"/>
      <c r="J662" s="7"/>
    </row>
    <row r="663" spans="2:10" x14ac:dyDescent="0.15">
      <c r="B663"/>
      <c r="C663"/>
      <c r="D663"/>
      <c r="E663"/>
      <c r="F663" s="7"/>
      <c r="G663" s="7"/>
      <c r="H663" s="7"/>
      <c r="I663" s="7"/>
      <c r="J663" s="7"/>
    </row>
    <row r="664" spans="2:10" x14ac:dyDescent="0.15">
      <c r="B664"/>
      <c r="C664"/>
      <c r="D664"/>
      <c r="E664"/>
      <c r="F664" s="7"/>
      <c r="G664" s="7"/>
      <c r="H664" s="7"/>
      <c r="I664" s="7"/>
      <c r="J664" s="7"/>
    </row>
    <row r="665" spans="2:10" x14ac:dyDescent="0.15">
      <c r="B665"/>
      <c r="C665"/>
      <c r="D665"/>
      <c r="E665"/>
      <c r="F665" s="7"/>
      <c r="G665" s="7"/>
      <c r="H665" s="7"/>
      <c r="I665" s="7"/>
      <c r="J665" s="7"/>
    </row>
    <row r="666" spans="2:10" x14ac:dyDescent="0.15">
      <c r="B666"/>
      <c r="C666"/>
      <c r="D666"/>
      <c r="E666"/>
      <c r="F666" s="7"/>
      <c r="G666" s="7"/>
      <c r="H666" s="7"/>
      <c r="I666" s="7"/>
      <c r="J666" s="7"/>
    </row>
    <row r="667" spans="2:10" x14ac:dyDescent="0.15">
      <c r="B667"/>
      <c r="C667"/>
      <c r="D667"/>
      <c r="E667"/>
      <c r="F667" s="7"/>
      <c r="G667" s="7"/>
      <c r="H667" s="7"/>
      <c r="I667" s="7"/>
      <c r="J667" s="7"/>
    </row>
    <row r="668" spans="2:10" x14ac:dyDescent="0.15">
      <c r="B668"/>
      <c r="C668"/>
      <c r="D668"/>
      <c r="E668"/>
      <c r="F668" s="7"/>
      <c r="G668" s="7"/>
      <c r="H668" s="7"/>
      <c r="I668" s="7"/>
      <c r="J668" s="7"/>
    </row>
    <row r="669" spans="2:10" x14ac:dyDescent="0.15">
      <c r="B669"/>
      <c r="C669"/>
      <c r="D669"/>
      <c r="E669"/>
      <c r="F669" s="7"/>
      <c r="G669" s="7"/>
      <c r="H669" s="7"/>
      <c r="I669" s="7"/>
      <c r="J669" s="7"/>
    </row>
    <row r="670" spans="2:10" x14ac:dyDescent="0.15">
      <c r="B670"/>
      <c r="C670"/>
      <c r="D670"/>
      <c r="E670"/>
      <c r="F670" s="7"/>
      <c r="G670" s="7"/>
      <c r="H670" s="7"/>
      <c r="I670" s="7"/>
      <c r="J670" s="7"/>
    </row>
    <row r="671" spans="2:10" x14ac:dyDescent="0.15">
      <c r="B671"/>
      <c r="C671"/>
      <c r="D671"/>
      <c r="E671"/>
      <c r="F671" s="7"/>
      <c r="G671" s="7"/>
      <c r="H671" s="7"/>
      <c r="I671" s="7"/>
      <c r="J671" s="7"/>
    </row>
    <row r="672" spans="2:10" x14ac:dyDescent="0.15">
      <c r="B672"/>
      <c r="C672"/>
      <c r="D672"/>
      <c r="E672"/>
      <c r="F672" s="7"/>
      <c r="G672" s="7"/>
      <c r="H672" s="7"/>
      <c r="I672" s="7"/>
      <c r="J672" s="7"/>
    </row>
    <row r="673" spans="2:10" x14ac:dyDescent="0.15">
      <c r="B673"/>
      <c r="C673"/>
      <c r="D673"/>
      <c r="E673"/>
      <c r="F673" s="7"/>
      <c r="G673" s="7"/>
      <c r="H673" s="7"/>
      <c r="I673" s="7"/>
      <c r="J673" s="7"/>
    </row>
    <row r="674" spans="2:10" x14ac:dyDescent="0.15">
      <c r="B674"/>
      <c r="C674"/>
      <c r="D674"/>
      <c r="E674"/>
      <c r="F674" s="7"/>
      <c r="G674" s="7"/>
      <c r="H674" s="7"/>
      <c r="I674" s="7"/>
      <c r="J674" s="7"/>
    </row>
    <row r="675" spans="2:10" x14ac:dyDescent="0.15">
      <c r="B675"/>
      <c r="C675"/>
      <c r="D675"/>
      <c r="E675"/>
      <c r="F675" s="7"/>
      <c r="G675" s="7"/>
      <c r="H675" s="7"/>
      <c r="I675" s="7"/>
      <c r="J675" s="7"/>
    </row>
    <row r="676" spans="2:10" x14ac:dyDescent="0.15">
      <c r="B676"/>
      <c r="C676"/>
      <c r="D676"/>
      <c r="E676"/>
      <c r="F676" s="7"/>
      <c r="G676" s="7"/>
      <c r="H676" s="7"/>
      <c r="I676" s="7"/>
      <c r="J676" s="7"/>
    </row>
    <row r="677" spans="2:10" x14ac:dyDescent="0.15">
      <c r="B677"/>
      <c r="C677"/>
      <c r="D677"/>
      <c r="E677"/>
      <c r="F677" s="7"/>
      <c r="G677" s="7"/>
      <c r="H677" s="7"/>
      <c r="I677" s="7"/>
      <c r="J677" s="7"/>
    </row>
    <row r="678" spans="2:10" x14ac:dyDescent="0.15">
      <c r="B678"/>
      <c r="C678"/>
      <c r="D678"/>
      <c r="E678"/>
      <c r="F678" s="7"/>
      <c r="G678" s="7"/>
      <c r="H678" s="7"/>
      <c r="I678" s="7"/>
      <c r="J678" s="7"/>
    </row>
    <row r="679" spans="2:10" x14ac:dyDescent="0.15">
      <c r="B679"/>
      <c r="C679"/>
      <c r="D679"/>
      <c r="E679"/>
      <c r="F679" s="7"/>
      <c r="G679" s="7"/>
      <c r="H679" s="7"/>
      <c r="I679" s="7"/>
      <c r="J679" s="7"/>
    </row>
    <row r="680" spans="2:10" x14ac:dyDescent="0.15">
      <c r="B680"/>
      <c r="C680"/>
      <c r="D680"/>
      <c r="E680"/>
      <c r="F680" s="7"/>
      <c r="G680" s="7"/>
      <c r="H680" s="7"/>
      <c r="I680" s="7"/>
      <c r="J680" s="7"/>
    </row>
    <row r="681" spans="2:10" x14ac:dyDescent="0.15">
      <c r="B681"/>
      <c r="C681"/>
      <c r="D681"/>
      <c r="E681"/>
      <c r="F681" s="7"/>
      <c r="G681" s="7"/>
      <c r="H681" s="7"/>
      <c r="I681" s="7"/>
      <c r="J681" s="7"/>
    </row>
    <row r="682" spans="2:10" x14ac:dyDescent="0.15">
      <c r="B682"/>
      <c r="C682"/>
      <c r="D682"/>
      <c r="E682"/>
      <c r="F682" s="7"/>
      <c r="G682" s="7"/>
      <c r="H682" s="7"/>
      <c r="I682" s="7"/>
      <c r="J682" s="7"/>
    </row>
    <row r="683" spans="2:10" x14ac:dyDescent="0.15">
      <c r="B683"/>
      <c r="C683"/>
      <c r="D683"/>
      <c r="E683"/>
      <c r="F683" s="7"/>
      <c r="G683" s="7"/>
      <c r="H683" s="7"/>
      <c r="I683" s="7"/>
      <c r="J683" s="7"/>
    </row>
    <row r="684" spans="2:10" x14ac:dyDescent="0.15">
      <c r="B684"/>
      <c r="C684"/>
      <c r="D684"/>
      <c r="E684"/>
      <c r="F684" s="7"/>
      <c r="G684" s="7"/>
      <c r="H684" s="7"/>
      <c r="I684" s="7"/>
      <c r="J684" s="7"/>
    </row>
    <row r="685" spans="2:10" x14ac:dyDescent="0.15">
      <c r="B685"/>
      <c r="C685"/>
      <c r="D685"/>
      <c r="E685"/>
      <c r="F685" s="7"/>
      <c r="G685" s="7"/>
      <c r="H685" s="7"/>
      <c r="I685" s="7"/>
      <c r="J685" s="7"/>
    </row>
    <row r="686" spans="2:10" x14ac:dyDescent="0.15">
      <c r="B686"/>
      <c r="C686"/>
      <c r="D686"/>
      <c r="E686"/>
      <c r="F686" s="7"/>
      <c r="G686" s="7"/>
      <c r="H686" s="7"/>
      <c r="I686" s="7"/>
      <c r="J686" s="7"/>
    </row>
    <row r="687" spans="2:10" x14ac:dyDescent="0.15">
      <c r="B687"/>
      <c r="C687"/>
      <c r="D687"/>
      <c r="E687"/>
      <c r="F687" s="7"/>
      <c r="G687" s="7"/>
      <c r="H687" s="7"/>
      <c r="I687" s="7"/>
      <c r="J687" s="7"/>
    </row>
    <row r="688" spans="2:10" x14ac:dyDescent="0.15">
      <c r="B688"/>
      <c r="C688"/>
      <c r="D688"/>
      <c r="E688"/>
      <c r="F688" s="7"/>
      <c r="G688" s="7"/>
      <c r="H688" s="7"/>
      <c r="I688" s="7"/>
      <c r="J688" s="7"/>
    </row>
    <row r="689" spans="2:10" x14ac:dyDescent="0.15">
      <c r="B689"/>
      <c r="C689"/>
      <c r="D689"/>
      <c r="E689"/>
      <c r="F689" s="7"/>
      <c r="G689" s="7"/>
      <c r="H689" s="7"/>
      <c r="I689" s="7"/>
      <c r="J689" s="7"/>
    </row>
    <row r="690" spans="2:10" x14ac:dyDescent="0.15">
      <c r="B690"/>
      <c r="C690"/>
      <c r="D690"/>
      <c r="E690"/>
      <c r="F690" s="7"/>
      <c r="G690" s="7"/>
      <c r="H690" s="7"/>
      <c r="I690" s="7"/>
      <c r="J690" s="7"/>
    </row>
    <row r="691" spans="2:10" x14ac:dyDescent="0.15">
      <c r="B691"/>
      <c r="C691"/>
      <c r="D691"/>
      <c r="E691"/>
      <c r="F691" s="7"/>
      <c r="G691" s="7"/>
      <c r="H691" s="7"/>
      <c r="I691" s="7"/>
      <c r="J691" s="7"/>
    </row>
    <row r="692" spans="2:10" x14ac:dyDescent="0.15">
      <c r="B692"/>
      <c r="C692"/>
      <c r="D692"/>
      <c r="E692"/>
      <c r="F692" s="7"/>
      <c r="G692" s="7"/>
      <c r="H692" s="7"/>
      <c r="I692" s="7"/>
      <c r="J692" s="7"/>
    </row>
    <row r="693" spans="2:10" x14ac:dyDescent="0.15">
      <c r="B693"/>
      <c r="C693"/>
      <c r="D693"/>
      <c r="E693"/>
      <c r="F693" s="7"/>
      <c r="G693" s="7"/>
      <c r="H693" s="7"/>
      <c r="I693" s="7"/>
      <c r="J693" s="7"/>
    </row>
    <row r="694" spans="2:10" x14ac:dyDescent="0.15">
      <c r="B694"/>
      <c r="C694"/>
      <c r="D694"/>
      <c r="E694"/>
      <c r="F694" s="7"/>
      <c r="G694" s="7"/>
      <c r="H694" s="7"/>
      <c r="I694" s="7"/>
      <c r="J694" s="7"/>
    </row>
    <row r="695" spans="2:10" x14ac:dyDescent="0.15">
      <c r="B695"/>
      <c r="C695"/>
      <c r="D695"/>
      <c r="E695"/>
      <c r="F695" s="7"/>
      <c r="G695" s="7"/>
      <c r="H695" s="7"/>
      <c r="I695" s="7"/>
      <c r="J695" s="7"/>
    </row>
    <row r="696" spans="2:10" x14ac:dyDescent="0.15">
      <c r="B696"/>
      <c r="C696"/>
      <c r="D696"/>
      <c r="E696"/>
      <c r="F696" s="7"/>
      <c r="G696" s="7"/>
      <c r="H696" s="7"/>
      <c r="I696" s="7"/>
      <c r="J696" s="7"/>
    </row>
    <row r="697" spans="2:10" x14ac:dyDescent="0.15">
      <c r="B697"/>
      <c r="C697"/>
      <c r="D697"/>
      <c r="E697"/>
      <c r="F697" s="7"/>
      <c r="G697" s="7"/>
      <c r="H697" s="7"/>
      <c r="I697" s="7"/>
      <c r="J697" s="7"/>
    </row>
    <row r="698" spans="2:10" x14ac:dyDescent="0.15">
      <c r="B698"/>
      <c r="C698"/>
      <c r="D698"/>
      <c r="E698"/>
      <c r="F698" s="7"/>
      <c r="G698" s="7"/>
      <c r="H698" s="7"/>
      <c r="I698" s="7"/>
      <c r="J698" s="7"/>
    </row>
    <row r="699" spans="2:10" x14ac:dyDescent="0.15">
      <c r="B699"/>
      <c r="C699"/>
      <c r="D699"/>
      <c r="E699"/>
      <c r="F699" s="7"/>
      <c r="G699" s="7"/>
      <c r="H699" s="7"/>
      <c r="I699" s="7"/>
      <c r="J699" s="7"/>
    </row>
    <row r="700" spans="2:10" x14ac:dyDescent="0.15">
      <c r="B700"/>
      <c r="C700"/>
      <c r="D700"/>
      <c r="E700"/>
      <c r="F700" s="7"/>
      <c r="G700" s="7"/>
      <c r="H700" s="7"/>
      <c r="I700" s="7"/>
      <c r="J700" s="7"/>
    </row>
    <row r="701" spans="2:10" x14ac:dyDescent="0.15">
      <c r="B701"/>
      <c r="C701"/>
      <c r="D701"/>
      <c r="E701"/>
      <c r="F701" s="7"/>
      <c r="G701" s="7"/>
      <c r="H701" s="7"/>
      <c r="I701" s="7"/>
      <c r="J701" s="7"/>
    </row>
    <row r="702" spans="2:10" x14ac:dyDescent="0.15">
      <c r="B702"/>
      <c r="C702"/>
      <c r="D702"/>
      <c r="E702"/>
      <c r="F702" s="7"/>
      <c r="G702" s="7"/>
      <c r="H702" s="7"/>
      <c r="I702" s="7"/>
      <c r="J702" s="7"/>
    </row>
    <row r="703" spans="2:10" x14ac:dyDescent="0.15">
      <c r="B703"/>
      <c r="C703"/>
      <c r="D703"/>
      <c r="E703"/>
      <c r="F703" s="7"/>
      <c r="G703" s="7"/>
      <c r="H703" s="7"/>
      <c r="I703" s="7"/>
      <c r="J703" s="7"/>
    </row>
    <row r="704" spans="2:10" x14ac:dyDescent="0.15">
      <c r="B704"/>
      <c r="C704"/>
      <c r="D704"/>
      <c r="E704"/>
      <c r="F704" s="7"/>
      <c r="G704" s="7"/>
      <c r="H704" s="7"/>
      <c r="I704" s="7"/>
      <c r="J704" s="7"/>
    </row>
    <row r="705" spans="2:10" x14ac:dyDescent="0.15">
      <c r="B705"/>
      <c r="C705"/>
      <c r="D705"/>
      <c r="E705"/>
      <c r="F705" s="7"/>
      <c r="G705" s="7"/>
      <c r="H705" s="7"/>
      <c r="I705" s="7"/>
      <c r="J705" s="7"/>
    </row>
    <row r="706" spans="2:10" x14ac:dyDescent="0.15">
      <c r="B706"/>
      <c r="C706"/>
      <c r="D706"/>
      <c r="E706"/>
      <c r="F706" s="7"/>
      <c r="G706" s="7"/>
      <c r="H706" s="7"/>
      <c r="I706" s="7"/>
      <c r="J706" s="7"/>
    </row>
    <row r="707" spans="2:10" x14ac:dyDescent="0.15">
      <c r="B707"/>
      <c r="C707"/>
      <c r="D707"/>
      <c r="E707"/>
      <c r="F707" s="7"/>
      <c r="G707" s="7"/>
      <c r="H707" s="7"/>
      <c r="I707" s="7"/>
      <c r="J707" s="7"/>
    </row>
    <row r="708" spans="2:10" x14ac:dyDescent="0.15">
      <c r="B708"/>
      <c r="C708"/>
      <c r="D708"/>
      <c r="E708"/>
      <c r="F708" s="7"/>
      <c r="G708" s="7"/>
      <c r="H708" s="7"/>
      <c r="I708" s="7"/>
      <c r="J708" s="7"/>
    </row>
    <row r="709" spans="2:10" x14ac:dyDescent="0.15">
      <c r="B709"/>
      <c r="C709"/>
      <c r="D709"/>
      <c r="E709"/>
      <c r="F709" s="7"/>
      <c r="G709" s="7"/>
      <c r="H709" s="7"/>
      <c r="I709" s="7"/>
      <c r="J709" s="7"/>
    </row>
    <row r="710" spans="2:10" x14ac:dyDescent="0.15">
      <c r="B710"/>
      <c r="C710"/>
      <c r="D710"/>
      <c r="E710"/>
      <c r="F710" s="7"/>
      <c r="G710" s="7"/>
      <c r="H710" s="7"/>
      <c r="I710" s="7"/>
      <c r="J710" s="7"/>
    </row>
    <row r="711" spans="2:10" x14ac:dyDescent="0.15">
      <c r="B711"/>
      <c r="C711"/>
      <c r="D711"/>
      <c r="E711"/>
      <c r="F711" s="7"/>
      <c r="G711" s="7"/>
      <c r="H711" s="7"/>
      <c r="I711" s="7"/>
      <c r="J711" s="7"/>
    </row>
    <row r="712" spans="2:10" x14ac:dyDescent="0.15">
      <c r="B712"/>
      <c r="C712"/>
      <c r="D712"/>
      <c r="E712"/>
      <c r="F712" s="7"/>
      <c r="G712" s="7"/>
      <c r="H712" s="7"/>
      <c r="I712" s="7"/>
      <c r="J712" s="7"/>
    </row>
    <row r="713" spans="2:10" x14ac:dyDescent="0.15">
      <c r="B713"/>
      <c r="C713"/>
      <c r="D713"/>
      <c r="E713"/>
      <c r="F713" s="7"/>
      <c r="G713" s="7"/>
      <c r="H713" s="7"/>
      <c r="I713" s="7"/>
      <c r="J713" s="7"/>
    </row>
    <row r="714" spans="2:10" x14ac:dyDescent="0.15">
      <c r="B714"/>
      <c r="C714"/>
      <c r="D714"/>
      <c r="E714"/>
      <c r="F714" s="7"/>
      <c r="G714" s="7"/>
      <c r="H714" s="7"/>
      <c r="I714" s="7"/>
      <c r="J714" s="7"/>
    </row>
    <row r="715" spans="2:10" x14ac:dyDescent="0.15">
      <c r="B715"/>
      <c r="C715"/>
      <c r="D715"/>
      <c r="E715"/>
      <c r="F715" s="7"/>
      <c r="G715" s="7"/>
      <c r="H715" s="7"/>
      <c r="I715" s="7"/>
      <c r="J715" s="7"/>
    </row>
    <row r="716" spans="2:10" x14ac:dyDescent="0.15">
      <c r="B716"/>
      <c r="C716"/>
      <c r="D716"/>
      <c r="E716"/>
      <c r="F716" s="7"/>
      <c r="G716" s="7"/>
      <c r="H716" s="7"/>
      <c r="I716" s="7"/>
      <c r="J716" s="7"/>
    </row>
    <row r="717" spans="2:10" x14ac:dyDescent="0.15">
      <c r="B717"/>
      <c r="C717"/>
      <c r="D717"/>
      <c r="E717"/>
      <c r="F717" s="7"/>
      <c r="G717" s="7"/>
      <c r="H717" s="7"/>
      <c r="I717" s="7"/>
      <c r="J717" s="7"/>
    </row>
    <row r="718" spans="2:10" x14ac:dyDescent="0.15">
      <c r="B718"/>
      <c r="C718"/>
      <c r="D718"/>
      <c r="E718"/>
      <c r="F718" s="7"/>
      <c r="G718" s="7"/>
      <c r="H718" s="7"/>
      <c r="I718" s="7"/>
      <c r="J718" s="7"/>
    </row>
    <row r="719" spans="2:10" x14ac:dyDescent="0.15">
      <c r="B719"/>
      <c r="C719"/>
      <c r="D719"/>
      <c r="E719"/>
      <c r="F719" s="7"/>
      <c r="G719" s="7"/>
      <c r="H719" s="7"/>
      <c r="I719" s="7"/>
      <c r="J719" s="7"/>
    </row>
    <row r="720" spans="2:10" x14ac:dyDescent="0.15">
      <c r="B720"/>
      <c r="C720"/>
      <c r="D720"/>
      <c r="E720"/>
      <c r="F720" s="7"/>
      <c r="G720" s="7"/>
      <c r="H720" s="7"/>
      <c r="I720" s="7"/>
      <c r="J720" s="7"/>
    </row>
    <row r="721" spans="2:10" x14ac:dyDescent="0.15">
      <c r="B721"/>
      <c r="C721"/>
      <c r="D721"/>
      <c r="E721"/>
      <c r="F721" s="7"/>
      <c r="G721" s="7"/>
      <c r="H721" s="7"/>
      <c r="I721" s="7"/>
      <c r="J721" s="7"/>
    </row>
    <row r="722" spans="2:10" x14ac:dyDescent="0.15">
      <c r="B722"/>
      <c r="C722"/>
      <c r="D722"/>
      <c r="E722"/>
      <c r="F722" s="7"/>
      <c r="G722" s="7"/>
      <c r="H722" s="7"/>
      <c r="I722" s="7"/>
      <c r="J722" s="7"/>
    </row>
  </sheetData>
  <mergeCells count="2">
    <mergeCell ref="F1:J1"/>
    <mergeCell ref="C1:C2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2"/>
  <sheetViews>
    <sheetView workbookViewId="0">
      <selection activeCell="D3" sqref="D3"/>
    </sheetView>
  </sheetViews>
  <sheetFormatPr defaultRowHeight="13.5" x14ac:dyDescent="0.15"/>
  <cols>
    <col min="2" max="5" width="12.625" style="2" customWidth="1"/>
    <col min="6" max="10" width="9.625" style="4" customWidth="1"/>
  </cols>
  <sheetData>
    <row r="1" spans="2:12" ht="13.5" customHeight="1" x14ac:dyDescent="0.15">
      <c r="B1" s="8" t="s">
        <v>7</v>
      </c>
      <c r="C1" s="14" t="s">
        <v>10</v>
      </c>
      <c r="D1" s="8" t="s">
        <v>11</v>
      </c>
      <c r="E1" s="8" t="s">
        <v>1</v>
      </c>
      <c r="F1" s="16" t="s">
        <v>20</v>
      </c>
      <c r="G1" s="17"/>
      <c r="H1" s="17"/>
      <c r="I1" s="17"/>
      <c r="J1" s="18"/>
    </row>
    <row r="2" spans="2:12" x14ac:dyDescent="0.15">
      <c r="B2" s="9" t="s">
        <v>9</v>
      </c>
      <c r="C2" s="15"/>
      <c r="D2" s="9" t="s">
        <v>12</v>
      </c>
      <c r="E2" s="9" t="s">
        <v>15</v>
      </c>
      <c r="F2" s="4" t="s">
        <v>8</v>
      </c>
      <c r="G2" s="4" t="s">
        <v>3</v>
      </c>
      <c r="H2" s="4" t="s">
        <v>4</v>
      </c>
      <c r="I2" s="4" t="s">
        <v>5</v>
      </c>
      <c r="J2" s="4" t="s">
        <v>6</v>
      </c>
    </row>
    <row r="3" spans="2:12" x14ac:dyDescent="0.15">
      <c r="B3" s="2">
        <v>1</v>
      </c>
      <c r="C3" s="2">
        <f>B3+1</f>
        <v>2</v>
      </c>
      <c r="D3" s="3">
        <f>C3^0.5</f>
        <v>1.4142135623730951</v>
      </c>
      <c r="E3" s="3">
        <f>D3</f>
        <v>1.4142135623730951</v>
      </c>
      <c r="F3" s="5">
        <f>(1+3*B3)/E3^3</f>
        <v>1.4142135623730947</v>
      </c>
      <c r="G3" s="5">
        <f>F3*2</f>
        <v>2.8284271247461894</v>
      </c>
      <c r="H3" s="5">
        <f>F3*3</f>
        <v>4.2426406871192839</v>
      </c>
      <c r="I3" s="5">
        <f>F3*4</f>
        <v>5.6568542494923788</v>
      </c>
      <c r="J3" s="5">
        <f>F3*5</f>
        <v>7.0710678118654737</v>
      </c>
      <c r="L3" t="s">
        <v>12</v>
      </c>
    </row>
    <row r="4" spans="2:12" x14ac:dyDescent="0.15">
      <c r="B4" s="2">
        <v>2</v>
      </c>
      <c r="C4" s="2">
        <f t="shared" ref="C4:C67" si="0">B4+1</f>
        <v>3</v>
      </c>
      <c r="D4" s="3">
        <f t="shared" ref="D4:D67" si="1">C4^0.5</f>
        <v>1.7320508075688772</v>
      </c>
      <c r="E4" s="3">
        <f t="shared" ref="E4:E67" si="2">D4</f>
        <v>1.7320508075688772</v>
      </c>
      <c r="F4" s="5">
        <f t="shared" ref="F4:F67" si="3">(1+3*B4)/E4^3</f>
        <v>1.347150628109127</v>
      </c>
      <c r="G4" s="5">
        <f t="shared" ref="G4:G67" si="4">F4*2</f>
        <v>2.694301256218254</v>
      </c>
      <c r="H4" s="5">
        <f t="shared" ref="H4:H67" si="5">F4*3</f>
        <v>4.0414518843273814</v>
      </c>
      <c r="I4" s="5">
        <f t="shared" ref="I4:I67" si="6">F4*4</f>
        <v>5.388602512436508</v>
      </c>
      <c r="J4" s="5">
        <f t="shared" ref="J4:J67" si="7">F4*5</f>
        <v>6.7357531405456346</v>
      </c>
      <c r="L4" t="s">
        <v>13</v>
      </c>
    </row>
    <row r="5" spans="2:12" x14ac:dyDescent="0.15">
      <c r="B5" s="2">
        <v>3</v>
      </c>
      <c r="C5" s="2">
        <f t="shared" si="0"/>
        <v>4</v>
      </c>
      <c r="D5" s="3">
        <f t="shared" si="1"/>
        <v>2</v>
      </c>
      <c r="E5" s="3">
        <f t="shared" si="2"/>
        <v>2</v>
      </c>
      <c r="F5" s="5">
        <f t="shared" si="3"/>
        <v>1.25</v>
      </c>
      <c r="G5" s="5">
        <f t="shared" si="4"/>
        <v>2.5</v>
      </c>
      <c r="H5" s="5">
        <f t="shared" si="5"/>
        <v>3.75</v>
      </c>
      <c r="I5" s="5">
        <f t="shared" si="6"/>
        <v>5</v>
      </c>
      <c r="J5" s="5">
        <f t="shared" si="7"/>
        <v>6.25</v>
      </c>
      <c r="L5" t="s">
        <v>14</v>
      </c>
    </row>
    <row r="6" spans="2:12" x14ac:dyDescent="0.15">
      <c r="B6" s="2">
        <v>4</v>
      </c>
      <c r="C6" s="2">
        <f t="shared" si="0"/>
        <v>5</v>
      </c>
      <c r="D6" s="3">
        <f t="shared" si="1"/>
        <v>2.2360679774997898</v>
      </c>
      <c r="E6" s="3">
        <f t="shared" si="2"/>
        <v>2.2360679774997898</v>
      </c>
      <c r="F6" s="5">
        <f t="shared" si="3"/>
        <v>1.1627553482998905</v>
      </c>
      <c r="G6" s="5">
        <f t="shared" si="4"/>
        <v>2.3255106965997809</v>
      </c>
      <c r="H6" s="5">
        <f t="shared" si="5"/>
        <v>3.4882660448996714</v>
      </c>
      <c r="I6" s="5">
        <f t="shared" si="6"/>
        <v>4.6510213931995619</v>
      </c>
      <c r="J6" s="5">
        <f t="shared" si="7"/>
        <v>5.8137767414994528</v>
      </c>
    </row>
    <row r="7" spans="2:12" x14ac:dyDescent="0.15">
      <c r="B7" s="2">
        <v>5</v>
      </c>
      <c r="C7" s="2">
        <f t="shared" si="0"/>
        <v>6</v>
      </c>
      <c r="D7" s="3">
        <f t="shared" si="1"/>
        <v>2.4494897427831779</v>
      </c>
      <c r="E7" s="3">
        <f t="shared" si="2"/>
        <v>2.4494897427831779</v>
      </c>
      <c r="F7" s="5">
        <f t="shared" si="3"/>
        <v>1.0886621079036349</v>
      </c>
      <c r="G7" s="5">
        <f t="shared" si="4"/>
        <v>2.1773242158072699</v>
      </c>
      <c r="H7" s="5">
        <f t="shared" si="5"/>
        <v>3.265986323710905</v>
      </c>
      <c r="I7" s="5">
        <f t="shared" si="6"/>
        <v>4.3546484316145397</v>
      </c>
      <c r="J7" s="5">
        <f t="shared" si="7"/>
        <v>5.4433105395181745</v>
      </c>
      <c r="L7" t="s">
        <v>15</v>
      </c>
    </row>
    <row r="8" spans="2:12" x14ac:dyDescent="0.15">
      <c r="B8" s="2">
        <v>6</v>
      </c>
      <c r="C8" s="2">
        <f t="shared" si="0"/>
        <v>7</v>
      </c>
      <c r="D8" s="3">
        <f t="shared" si="1"/>
        <v>2.6457513110645907</v>
      </c>
      <c r="E8" s="3">
        <f t="shared" si="2"/>
        <v>2.6457513110645907</v>
      </c>
      <c r="F8" s="5">
        <f t="shared" si="3"/>
        <v>1.0259035695964738</v>
      </c>
      <c r="G8" s="5">
        <f t="shared" si="4"/>
        <v>2.0518071391929475</v>
      </c>
      <c r="H8" s="5">
        <f t="shared" si="5"/>
        <v>3.0777107087894215</v>
      </c>
      <c r="I8" s="5">
        <f t="shared" si="6"/>
        <v>4.1036142783858951</v>
      </c>
      <c r="J8" s="5">
        <f t="shared" si="7"/>
        <v>5.1295178479823687</v>
      </c>
      <c r="L8" t="s">
        <v>30</v>
      </c>
    </row>
    <row r="9" spans="2:12" x14ac:dyDescent="0.15">
      <c r="B9" s="2">
        <v>7</v>
      </c>
      <c r="C9" s="2">
        <f t="shared" si="0"/>
        <v>8</v>
      </c>
      <c r="D9" s="3">
        <f t="shared" si="1"/>
        <v>2.8284271247461903</v>
      </c>
      <c r="E9" s="3">
        <f t="shared" si="2"/>
        <v>2.8284271247461903</v>
      </c>
      <c r="F9" s="5">
        <f t="shared" si="3"/>
        <v>0.97227182413150259</v>
      </c>
      <c r="G9" s="10">
        <f t="shared" si="4"/>
        <v>1.9445436482630052</v>
      </c>
      <c r="H9" s="5">
        <f t="shared" si="5"/>
        <v>2.9168154723945077</v>
      </c>
      <c r="I9" s="5">
        <f t="shared" si="6"/>
        <v>3.8890872965260104</v>
      </c>
      <c r="J9" s="5">
        <f t="shared" si="7"/>
        <v>4.8613591206575126</v>
      </c>
      <c r="L9" t="s">
        <v>21</v>
      </c>
    </row>
    <row r="10" spans="2:12" x14ac:dyDescent="0.15">
      <c r="B10" s="2">
        <v>8</v>
      </c>
      <c r="C10" s="2">
        <f t="shared" si="0"/>
        <v>9</v>
      </c>
      <c r="D10" s="3">
        <f t="shared" si="1"/>
        <v>3</v>
      </c>
      <c r="E10" s="3">
        <f t="shared" si="2"/>
        <v>3</v>
      </c>
      <c r="F10" s="5">
        <f t="shared" si="3"/>
        <v>0.92592592592592593</v>
      </c>
      <c r="G10" s="5">
        <f t="shared" si="4"/>
        <v>1.8518518518518519</v>
      </c>
      <c r="H10" s="5">
        <f t="shared" si="5"/>
        <v>2.7777777777777777</v>
      </c>
      <c r="I10" s="5">
        <f t="shared" si="6"/>
        <v>3.7037037037037037</v>
      </c>
      <c r="J10" s="5">
        <f t="shared" si="7"/>
        <v>4.6296296296296298</v>
      </c>
      <c r="L10" t="s">
        <v>17</v>
      </c>
    </row>
    <row r="11" spans="2:12" x14ac:dyDescent="0.15">
      <c r="B11" s="2">
        <v>9</v>
      </c>
      <c r="C11" s="2">
        <f t="shared" si="0"/>
        <v>10</v>
      </c>
      <c r="D11" s="3">
        <f t="shared" si="1"/>
        <v>3.1622776601683795</v>
      </c>
      <c r="E11" s="3">
        <f t="shared" si="2"/>
        <v>3.1622776601683795</v>
      </c>
      <c r="F11" s="5">
        <f t="shared" si="3"/>
        <v>0.88543774484714599</v>
      </c>
      <c r="G11" s="5">
        <f t="shared" si="4"/>
        <v>1.770875489694292</v>
      </c>
      <c r="H11" s="5">
        <f t="shared" si="5"/>
        <v>2.6563132345414378</v>
      </c>
      <c r="I11" s="5">
        <f t="shared" si="6"/>
        <v>3.541750979388584</v>
      </c>
      <c r="J11" s="5">
        <f t="shared" si="7"/>
        <v>4.4271887242357302</v>
      </c>
      <c r="L11" t="s">
        <v>16</v>
      </c>
    </row>
    <row r="12" spans="2:12" x14ac:dyDescent="0.15">
      <c r="B12" s="2">
        <v>10</v>
      </c>
      <c r="C12" s="2">
        <f t="shared" si="0"/>
        <v>11</v>
      </c>
      <c r="D12" s="3">
        <f t="shared" si="1"/>
        <v>3.3166247903553998</v>
      </c>
      <c r="E12" s="3">
        <f t="shared" si="2"/>
        <v>3.3166247903553998</v>
      </c>
      <c r="F12" s="6">
        <f t="shared" si="3"/>
        <v>0.8497137892646065</v>
      </c>
      <c r="G12" s="5">
        <f t="shared" si="4"/>
        <v>1.699427578529213</v>
      </c>
      <c r="H12" s="5">
        <f t="shared" si="5"/>
        <v>2.5491413677938195</v>
      </c>
      <c r="I12" s="5">
        <f t="shared" si="6"/>
        <v>3.398855157058426</v>
      </c>
      <c r="J12" s="5">
        <f t="shared" si="7"/>
        <v>4.2485689463230329</v>
      </c>
      <c r="L12" t="s">
        <v>18</v>
      </c>
    </row>
    <row r="13" spans="2:12" x14ac:dyDescent="0.15">
      <c r="B13" s="2">
        <v>11</v>
      </c>
      <c r="C13" s="2">
        <f t="shared" si="0"/>
        <v>12</v>
      </c>
      <c r="D13" s="3">
        <f t="shared" si="1"/>
        <v>3.4641016151377544</v>
      </c>
      <c r="E13" s="3">
        <f t="shared" si="2"/>
        <v>3.4641016151377544</v>
      </c>
      <c r="F13" s="5">
        <f t="shared" si="3"/>
        <v>0.81791288135196993</v>
      </c>
      <c r="G13" s="5">
        <f t="shared" si="4"/>
        <v>1.6358257627039399</v>
      </c>
      <c r="H13" s="5">
        <f t="shared" si="5"/>
        <v>2.4537386440559099</v>
      </c>
      <c r="I13" s="5">
        <f t="shared" si="6"/>
        <v>3.2716515254078797</v>
      </c>
      <c r="J13" s="5">
        <f t="shared" si="7"/>
        <v>4.08956440675985</v>
      </c>
      <c r="L13" t="s">
        <v>19</v>
      </c>
    </row>
    <row r="14" spans="2:12" x14ac:dyDescent="0.15">
      <c r="B14" s="2">
        <v>12</v>
      </c>
      <c r="C14" s="2">
        <f t="shared" si="0"/>
        <v>13</v>
      </c>
      <c r="D14" s="3">
        <f t="shared" si="1"/>
        <v>3.6055512754639891</v>
      </c>
      <c r="E14" s="3">
        <f t="shared" si="2"/>
        <v>3.6055512754639891</v>
      </c>
      <c r="F14" s="5">
        <f t="shared" si="3"/>
        <v>0.78938104847436463</v>
      </c>
      <c r="G14" s="5">
        <f t="shared" si="4"/>
        <v>1.5787620969487293</v>
      </c>
      <c r="H14" s="5">
        <f t="shared" si="5"/>
        <v>2.3681431454230939</v>
      </c>
      <c r="I14" s="5">
        <f t="shared" si="6"/>
        <v>3.1575241938974585</v>
      </c>
      <c r="J14" s="5">
        <f t="shared" si="7"/>
        <v>3.9469052423718232</v>
      </c>
    </row>
    <row r="15" spans="2:12" x14ac:dyDescent="0.15">
      <c r="B15" s="2">
        <v>13</v>
      </c>
      <c r="C15" s="2">
        <f t="shared" si="0"/>
        <v>14</v>
      </c>
      <c r="D15" s="3">
        <f t="shared" si="1"/>
        <v>3.7416573867739413</v>
      </c>
      <c r="E15" s="3">
        <f t="shared" si="2"/>
        <v>3.7416573867739413</v>
      </c>
      <c r="F15" s="5">
        <f t="shared" si="3"/>
        <v>0.76360354832121258</v>
      </c>
      <c r="G15" s="5">
        <f t="shared" si="4"/>
        <v>1.5272070966424252</v>
      </c>
      <c r="H15" s="5">
        <f t="shared" si="5"/>
        <v>2.2908106449636376</v>
      </c>
      <c r="I15" s="5">
        <f t="shared" si="6"/>
        <v>3.0544141932848503</v>
      </c>
      <c r="J15" s="5">
        <f t="shared" si="7"/>
        <v>3.818017741606063</v>
      </c>
      <c r="L15" t="s">
        <v>22</v>
      </c>
    </row>
    <row r="16" spans="2:12" x14ac:dyDescent="0.15">
      <c r="B16" s="2">
        <v>14</v>
      </c>
      <c r="C16" s="2">
        <f t="shared" si="0"/>
        <v>15</v>
      </c>
      <c r="D16" s="3">
        <f t="shared" si="1"/>
        <v>3.872983346207417</v>
      </c>
      <c r="E16" s="3">
        <f t="shared" si="2"/>
        <v>3.872983346207417</v>
      </c>
      <c r="F16" s="5">
        <f t="shared" si="3"/>
        <v>0.74017015060852853</v>
      </c>
      <c r="G16" s="5">
        <f t="shared" si="4"/>
        <v>1.4803403012170571</v>
      </c>
      <c r="H16" s="5">
        <f t="shared" si="5"/>
        <v>2.2205104518255858</v>
      </c>
      <c r="I16" s="5">
        <f t="shared" si="6"/>
        <v>2.9606806024341141</v>
      </c>
      <c r="J16" s="5">
        <f t="shared" si="7"/>
        <v>3.7008507530426424</v>
      </c>
      <c r="L16" t="s">
        <v>23</v>
      </c>
    </row>
    <row r="17" spans="2:12" x14ac:dyDescent="0.15">
      <c r="B17" s="2">
        <v>15</v>
      </c>
      <c r="C17" s="2">
        <f t="shared" si="0"/>
        <v>16</v>
      </c>
      <c r="D17" s="3">
        <f t="shared" si="1"/>
        <v>4</v>
      </c>
      <c r="E17" s="3">
        <f t="shared" si="2"/>
        <v>4</v>
      </c>
      <c r="F17" s="5">
        <f t="shared" si="3"/>
        <v>0.71875</v>
      </c>
      <c r="G17" s="5">
        <f t="shared" si="4"/>
        <v>1.4375</v>
      </c>
      <c r="H17" s="5">
        <f t="shared" si="5"/>
        <v>2.15625</v>
      </c>
      <c r="I17" s="5">
        <f t="shared" si="6"/>
        <v>2.875</v>
      </c>
      <c r="J17" s="5">
        <f t="shared" si="7"/>
        <v>3.59375</v>
      </c>
      <c r="L17" t="s">
        <v>24</v>
      </c>
    </row>
    <row r="18" spans="2:12" x14ac:dyDescent="0.15">
      <c r="B18" s="2">
        <v>16</v>
      </c>
      <c r="C18" s="2">
        <f t="shared" si="0"/>
        <v>17</v>
      </c>
      <c r="D18" s="3">
        <f t="shared" si="1"/>
        <v>4.1231056256176606</v>
      </c>
      <c r="E18" s="3">
        <f t="shared" si="2"/>
        <v>4.1231056256176606</v>
      </c>
      <c r="F18" s="5">
        <f t="shared" si="3"/>
        <v>0.69907327216354809</v>
      </c>
      <c r="G18" s="5">
        <f t="shared" si="4"/>
        <v>1.3981465443270962</v>
      </c>
      <c r="H18" s="5">
        <f t="shared" si="5"/>
        <v>2.0972198164906444</v>
      </c>
      <c r="I18" s="5">
        <f t="shared" si="6"/>
        <v>2.7962930886541923</v>
      </c>
      <c r="J18" s="5">
        <f t="shared" si="7"/>
        <v>3.4953663608177403</v>
      </c>
      <c r="L18" t="s">
        <v>25</v>
      </c>
    </row>
    <row r="19" spans="2:12" x14ac:dyDescent="0.15">
      <c r="B19" s="2">
        <v>17</v>
      </c>
      <c r="C19" s="2">
        <f t="shared" si="0"/>
        <v>18</v>
      </c>
      <c r="D19" s="3">
        <f t="shared" si="1"/>
        <v>4.2426406871192848</v>
      </c>
      <c r="E19" s="3">
        <f t="shared" si="2"/>
        <v>4.2426406871192848</v>
      </c>
      <c r="F19" s="5">
        <f t="shared" si="3"/>
        <v>0.68091764114260156</v>
      </c>
      <c r="G19" s="5">
        <f t="shared" si="4"/>
        <v>1.3618352822852031</v>
      </c>
      <c r="H19" s="5">
        <f t="shared" si="5"/>
        <v>2.0427529234278046</v>
      </c>
      <c r="I19" s="5">
        <f t="shared" si="6"/>
        <v>2.7236705645704062</v>
      </c>
      <c r="J19" s="5">
        <f t="shared" si="7"/>
        <v>3.4045882057130079</v>
      </c>
      <c r="L19" t="s">
        <v>26</v>
      </c>
    </row>
    <row r="20" spans="2:12" x14ac:dyDescent="0.15">
      <c r="B20" s="2">
        <v>18</v>
      </c>
      <c r="C20" s="2">
        <f t="shared" si="0"/>
        <v>19</v>
      </c>
      <c r="D20" s="3">
        <f t="shared" si="1"/>
        <v>4.358898943540674</v>
      </c>
      <c r="E20" s="3">
        <f t="shared" si="2"/>
        <v>4.358898943540674</v>
      </c>
      <c r="F20" s="5">
        <f t="shared" si="3"/>
        <v>0.66409817699373119</v>
      </c>
      <c r="G20" s="5">
        <f t="shared" si="4"/>
        <v>1.3281963539874624</v>
      </c>
      <c r="H20" s="5">
        <f t="shared" si="5"/>
        <v>1.9922945309811935</v>
      </c>
      <c r="I20" s="5">
        <f t="shared" si="6"/>
        <v>2.6563927079749248</v>
      </c>
      <c r="J20" s="5">
        <f t="shared" si="7"/>
        <v>3.3204908849686561</v>
      </c>
      <c r="L20" t="s">
        <v>27</v>
      </c>
    </row>
    <row r="21" spans="2:12" x14ac:dyDescent="0.15">
      <c r="B21" s="2">
        <v>19</v>
      </c>
      <c r="C21" s="2">
        <f t="shared" si="0"/>
        <v>20</v>
      </c>
      <c r="D21" s="3">
        <f t="shared" si="1"/>
        <v>4.4721359549995796</v>
      </c>
      <c r="E21" s="3">
        <f t="shared" si="2"/>
        <v>4.4721359549995796</v>
      </c>
      <c r="F21" s="5">
        <f t="shared" si="3"/>
        <v>0.64845971347493891</v>
      </c>
      <c r="G21" s="5">
        <f t="shared" si="4"/>
        <v>1.2969194269498778</v>
      </c>
      <c r="H21" s="10">
        <f t="shared" si="5"/>
        <v>1.9453791404248166</v>
      </c>
      <c r="I21" s="5">
        <f t="shared" si="6"/>
        <v>2.5938388538997557</v>
      </c>
      <c r="J21" s="5">
        <f t="shared" si="7"/>
        <v>3.2422985673746947</v>
      </c>
      <c r="L21" t="s">
        <v>28</v>
      </c>
    </row>
    <row r="22" spans="2:12" x14ac:dyDescent="0.15">
      <c r="B22" s="2">
        <v>20</v>
      </c>
      <c r="C22" s="2">
        <f t="shared" si="0"/>
        <v>21</v>
      </c>
      <c r="D22" s="3">
        <f t="shared" si="1"/>
        <v>4.5825756949558398</v>
      </c>
      <c r="E22" s="3">
        <f t="shared" si="2"/>
        <v>4.5825756949558398</v>
      </c>
      <c r="F22" s="5">
        <f t="shared" si="3"/>
        <v>0.63387101449502548</v>
      </c>
      <c r="G22" s="5">
        <f t="shared" si="4"/>
        <v>1.267742028990051</v>
      </c>
      <c r="H22" s="5">
        <f t="shared" si="5"/>
        <v>1.9016130434850764</v>
      </c>
      <c r="I22" s="5">
        <f t="shared" si="6"/>
        <v>2.5354840579801019</v>
      </c>
      <c r="J22" s="5">
        <f t="shared" si="7"/>
        <v>3.1693550724751276</v>
      </c>
      <c r="L22" t="s">
        <v>29</v>
      </c>
    </row>
    <row r="23" spans="2:12" x14ac:dyDescent="0.15">
      <c r="B23" s="2">
        <v>21</v>
      </c>
      <c r="C23" s="2">
        <f t="shared" si="0"/>
        <v>22</v>
      </c>
      <c r="D23" s="3">
        <f t="shared" si="1"/>
        <v>4.6904157598234297</v>
      </c>
      <c r="E23" s="3">
        <f t="shared" si="2"/>
        <v>4.6904157598234297</v>
      </c>
      <c r="F23" s="5">
        <f t="shared" si="3"/>
        <v>0.6202202657617758</v>
      </c>
      <c r="G23" s="5">
        <f t="shared" si="4"/>
        <v>1.2404405315235516</v>
      </c>
      <c r="H23" s="5">
        <f t="shared" si="5"/>
        <v>1.8606607972853273</v>
      </c>
      <c r="I23" s="5">
        <f t="shared" si="6"/>
        <v>2.4808810630471032</v>
      </c>
      <c r="J23" s="5">
        <f t="shared" si="7"/>
        <v>3.1011013288088791</v>
      </c>
    </row>
    <row r="24" spans="2:12" x14ac:dyDescent="0.15">
      <c r="B24" s="2">
        <v>22</v>
      </c>
      <c r="C24" s="2">
        <f t="shared" si="0"/>
        <v>23</v>
      </c>
      <c r="D24" s="3">
        <f t="shared" si="1"/>
        <v>4.7958315233127191</v>
      </c>
      <c r="E24" s="3">
        <f t="shared" si="2"/>
        <v>4.7958315233127191</v>
      </c>
      <c r="F24" s="5">
        <f t="shared" si="3"/>
        <v>0.60741155399234836</v>
      </c>
      <c r="G24" s="5">
        <f t="shared" si="4"/>
        <v>1.2148231079846967</v>
      </c>
      <c r="H24" s="5">
        <f t="shared" si="5"/>
        <v>1.8222346619770451</v>
      </c>
      <c r="I24" s="5">
        <f t="shared" si="6"/>
        <v>2.4296462159693935</v>
      </c>
      <c r="J24" s="5">
        <f t="shared" si="7"/>
        <v>3.0370577699617418</v>
      </c>
    </row>
    <row r="25" spans="2:12" x14ac:dyDescent="0.15">
      <c r="B25" s="2">
        <v>23</v>
      </c>
      <c r="C25" s="2">
        <f t="shared" si="0"/>
        <v>24</v>
      </c>
      <c r="D25" s="3">
        <f t="shared" si="1"/>
        <v>4.8989794855663558</v>
      </c>
      <c r="E25" s="3">
        <f t="shared" si="2"/>
        <v>4.8989794855663558</v>
      </c>
      <c r="F25" s="5">
        <f t="shared" si="3"/>
        <v>0.59536209025980036</v>
      </c>
      <c r="G25" s="5">
        <f t="shared" si="4"/>
        <v>1.1907241805196007</v>
      </c>
      <c r="H25" s="5">
        <f t="shared" si="5"/>
        <v>1.7860862707794012</v>
      </c>
      <c r="I25" s="5">
        <f t="shared" si="6"/>
        <v>2.3814483610392014</v>
      </c>
      <c r="J25" s="5">
        <f t="shared" si="7"/>
        <v>2.9768104512990017</v>
      </c>
    </row>
    <row r="26" spans="2:12" x14ac:dyDescent="0.15">
      <c r="B26" s="2">
        <v>24</v>
      </c>
      <c r="C26" s="2">
        <f t="shared" si="0"/>
        <v>25</v>
      </c>
      <c r="D26" s="3">
        <f t="shared" si="1"/>
        <v>5</v>
      </c>
      <c r="E26" s="3">
        <f t="shared" si="2"/>
        <v>5</v>
      </c>
      <c r="F26" s="5">
        <f t="shared" si="3"/>
        <v>0.58399999999999996</v>
      </c>
      <c r="G26" s="5">
        <f t="shared" si="4"/>
        <v>1.1679999999999999</v>
      </c>
      <c r="H26" s="5">
        <f t="shared" si="5"/>
        <v>1.7519999999999998</v>
      </c>
      <c r="I26" s="5">
        <f t="shared" si="6"/>
        <v>2.3359999999999999</v>
      </c>
      <c r="J26" s="5">
        <f t="shared" si="7"/>
        <v>2.92</v>
      </c>
    </row>
    <row r="27" spans="2:12" x14ac:dyDescent="0.15">
      <c r="B27" s="2">
        <v>25</v>
      </c>
      <c r="C27" s="2">
        <f t="shared" si="0"/>
        <v>26</v>
      </c>
      <c r="D27" s="3">
        <f t="shared" si="1"/>
        <v>5.0990195135927845</v>
      </c>
      <c r="E27" s="3">
        <f t="shared" si="2"/>
        <v>5.0990195135927845</v>
      </c>
      <c r="F27" s="5">
        <f t="shared" si="3"/>
        <v>0.57326254886546113</v>
      </c>
      <c r="G27" s="5">
        <f t="shared" si="4"/>
        <v>1.1465250977309223</v>
      </c>
      <c r="H27" s="5">
        <f t="shared" si="5"/>
        <v>1.7197876465963833</v>
      </c>
      <c r="I27" s="5">
        <f t="shared" si="6"/>
        <v>2.2930501954618445</v>
      </c>
      <c r="J27" s="5">
        <f t="shared" si="7"/>
        <v>2.8663127443273058</v>
      </c>
    </row>
    <row r="28" spans="2:12" x14ac:dyDescent="0.15">
      <c r="B28" s="2">
        <v>26</v>
      </c>
      <c r="C28" s="2">
        <f t="shared" si="0"/>
        <v>27</v>
      </c>
      <c r="D28" s="3">
        <f t="shared" si="1"/>
        <v>5.196152422706632</v>
      </c>
      <c r="E28" s="3">
        <f t="shared" si="2"/>
        <v>5.196152422706632</v>
      </c>
      <c r="F28" s="5">
        <f t="shared" si="3"/>
        <v>0.56309470698741282</v>
      </c>
      <c r="G28" s="5">
        <f t="shared" si="4"/>
        <v>1.1261894139748256</v>
      </c>
      <c r="H28" s="5">
        <f t="shared" si="5"/>
        <v>1.6892841209622385</v>
      </c>
      <c r="I28" s="5">
        <f t="shared" si="6"/>
        <v>2.2523788279496513</v>
      </c>
      <c r="J28" s="5">
        <f t="shared" si="7"/>
        <v>2.8154735349370643</v>
      </c>
    </row>
    <row r="29" spans="2:12" x14ac:dyDescent="0.15">
      <c r="B29" s="2">
        <v>27</v>
      </c>
      <c r="C29" s="2">
        <f t="shared" si="0"/>
        <v>28</v>
      </c>
      <c r="D29" s="3">
        <f t="shared" si="1"/>
        <v>5.2915026221291814</v>
      </c>
      <c r="E29" s="3">
        <f t="shared" si="2"/>
        <v>5.2915026221291814</v>
      </c>
      <c r="F29" s="5">
        <f t="shared" si="3"/>
        <v>0.55344797833493986</v>
      </c>
      <c r="G29" s="5">
        <f t="shared" si="4"/>
        <v>1.1068959566698797</v>
      </c>
      <c r="H29" s="5">
        <f t="shared" si="5"/>
        <v>1.6603439350048195</v>
      </c>
      <c r="I29" s="5">
        <f t="shared" si="6"/>
        <v>2.2137919133397594</v>
      </c>
      <c r="J29" s="5">
        <f t="shared" si="7"/>
        <v>2.7672398916746994</v>
      </c>
    </row>
    <row r="30" spans="2:12" x14ac:dyDescent="0.15">
      <c r="B30" s="2">
        <v>28</v>
      </c>
      <c r="C30" s="2">
        <f t="shared" si="0"/>
        <v>29</v>
      </c>
      <c r="D30" s="3">
        <f t="shared" si="1"/>
        <v>5.3851648071345037</v>
      </c>
      <c r="E30" s="3">
        <f t="shared" si="2"/>
        <v>5.3851648071345037</v>
      </c>
      <c r="F30" s="5">
        <f t="shared" si="3"/>
        <v>0.54427943948446245</v>
      </c>
      <c r="G30" s="5">
        <f t="shared" si="4"/>
        <v>1.0885588789689249</v>
      </c>
      <c r="H30" s="5">
        <f t="shared" si="5"/>
        <v>1.6328383184533872</v>
      </c>
      <c r="I30" s="5">
        <f t="shared" si="6"/>
        <v>2.1771177579378498</v>
      </c>
      <c r="J30" s="5">
        <f t="shared" si="7"/>
        <v>2.7213971974223123</v>
      </c>
    </row>
    <row r="31" spans="2:12" x14ac:dyDescent="0.15">
      <c r="B31" s="2">
        <v>29</v>
      </c>
      <c r="C31" s="2">
        <f t="shared" si="0"/>
        <v>30</v>
      </c>
      <c r="D31" s="3">
        <f t="shared" si="1"/>
        <v>5.4772255750516612</v>
      </c>
      <c r="E31" s="3">
        <f t="shared" si="2"/>
        <v>5.4772255750516612</v>
      </c>
      <c r="F31" s="5">
        <f t="shared" si="3"/>
        <v>0.53555094511616241</v>
      </c>
      <c r="G31" s="5">
        <f t="shared" si="4"/>
        <v>1.0711018902323248</v>
      </c>
      <c r="H31" s="5">
        <f t="shared" si="5"/>
        <v>1.6066528353484872</v>
      </c>
      <c r="I31" s="5">
        <f t="shared" si="6"/>
        <v>2.1422037804646497</v>
      </c>
      <c r="J31" s="5">
        <f t="shared" si="7"/>
        <v>2.6777547255808121</v>
      </c>
    </row>
    <row r="32" spans="2:12" x14ac:dyDescent="0.15">
      <c r="B32" s="2">
        <v>30</v>
      </c>
      <c r="C32" s="2">
        <f t="shared" si="0"/>
        <v>31</v>
      </c>
      <c r="D32" s="3">
        <f t="shared" si="1"/>
        <v>5.5677643628300215</v>
      </c>
      <c r="E32" s="3">
        <f t="shared" si="2"/>
        <v>5.5677643628300215</v>
      </c>
      <c r="F32" s="5">
        <f t="shared" si="3"/>
        <v>0.5272284672398877</v>
      </c>
      <c r="G32" s="5">
        <f t="shared" si="4"/>
        <v>1.0544569344797754</v>
      </c>
      <c r="H32" s="5">
        <f t="shared" si="5"/>
        <v>1.5816854017196631</v>
      </c>
      <c r="I32" s="5">
        <f t="shared" si="6"/>
        <v>2.1089138689595508</v>
      </c>
      <c r="J32" s="5">
        <f t="shared" si="7"/>
        <v>2.6361423361994385</v>
      </c>
    </row>
    <row r="33" spans="2:10" x14ac:dyDescent="0.15">
      <c r="B33" s="2">
        <v>31</v>
      </c>
      <c r="C33" s="2">
        <f t="shared" si="0"/>
        <v>32</v>
      </c>
      <c r="D33" s="3">
        <f t="shared" si="1"/>
        <v>5.6568542494923806</v>
      </c>
      <c r="E33" s="3">
        <f t="shared" si="2"/>
        <v>5.6568542494923806</v>
      </c>
      <c r="F33" s="5">
        <f t="shared" si="3"/>
        <v>0.5192815424338707</v>
      </c>
      <c r="G33" s="5">
        <f t="shared" si="4"/>
        <v>1.0385630848677414</v>
      </c>
      <c r="H33" s="5">
        <f t="shared" si="5"/>
        <v>1.5578446273016122</v>
      </c>
      <c r="I33" s="5">
        <f t="shared" si="6"/>
        <v>2.0771261697354828</v>
      </c>
      <c r="J33" s="5">
        <f t="shared" si="7"/>
        <v>2.5964077121693534</v>
      </c>
    </row>
    <row r="34" spans="2:10" x14ac:dyDescent="0.15">
      <c r="B34" s="2">
        <v>32</v>
      </c>
      <c r="C34" s="2">
        <f t="shared" si="0"/>
        <v>33</v>
      </c>
      <c r="D34" s="3">
        <f t="shared" si="1"/>
        <v>5.7445626465380286</v>
      </c>
      <c r="E34" s="3">
        <f t="shared" si="2"/>
        <v>5.7445626465380286</v>
      </c>
      <c r="F34" s="5">
        <f t="shared" si="3"/>
        <v>0.5116828069000815</v>
      </c>
      <c r="G34" s="5">
        <f t="shared" si="4"/>
        <v>1.023365613800163</v>
      </c>
      <c r="H34" s="5">
        <f t="shared" si="5"/>
        <v>1.5350484207002446</v>
      </c>
      <c r="I34" s="5">
        <f t="shared" si="6"/>
        <v>2.046731227600326</v>
      </c>
      <c r="J34" s="5">
        <f t="shared" si="7"/>
        <v>2.5584140345004074</v>
      </c>
    </row>
    <row r="35" spans="2:10" x14ac:dyDescent="0.15">
      <c r="B35" s="2">
        <v>33</v>
      </c>
      <c r="C35" s="2">
        <f t="shared" si="0"/>
        <v>34</v>
      </c>
      <c r="D35" s="3">
        <f t="shared" si="1"/>
        <v>5.8309518948453007</v>
      </c>
      <c r="E35" s="3">
        <f t="shared" si="2"/>
        <v>5.8309518948453007</v>
      </c>
      <c r="F35" s="5">
        <f t="shared" si="3"/>
        <v>0.50440760336032009</v>
      </c>
      <c r="G35" s="5">
        <f t="shared" si="4"/>
        <v>1.0088152067206402</v>
      </c>
      <c r="H35" s="5">
        <f t="shared" si="5"/>
        <v>1.5132228100809604</v>
      </c>
      <c r="I35" s="5">
        <f t="shared" si="6"/>
        <v>2.0176304134412804</v>
      </c>
      <c r="J35" s="5">
        <f t="shared" si="7"/>
        <v>2.5220380168016003</v>
      </c>
    </row>
    <row r="36" spans="2:10" x14ac:dyDescent="0.15">
      <c r="B36" s="2">
        <v>34</v>
      </c>
      <c r="C36" s="2">
        <f t="shared" si="0"/>
        <v>35</v>
      </c>
      <c r="D36" s="3">
        <f t="shared" si="1"/>
        <v>5.9160797830996161</v>
      </c>
      <c r="E36" s="3">
        <f t="shared" si="2"/>
        <v>5.9160797830996161</v>
      </c>
      <c r="F36" s="5">
        <f t="shared" si="3"/>
        <v>0.49743364706878407</v>
      </c>
      <c r="G36" s="5">
        <f t="shared" si="4"/>
        <v>0.99486729413756814</v>
      </c>
      <c r="H36" s="5">
        <f t="shared" si="5"/>
        <v>1.4923009412063521</v>
      </c>
      <c r="I36" s="5">
        <f t="shared" si="6"/>
        <v>1.9897345882751363</v>
      </c>
      <c r="J36" s="5">
        <f t="shared" si="7"/>
        <v>2.4871682353439204</v>
      </c>
    </row>
    <row r="37" spans="2:10" x14ac:dyDescent="0.15">
      <c r="B37" s="2">
        <v>35</v>
      </c>
      <c r="C37" s="2">
        <f t="shared" si="0"/>
        <v>36</v>
      </c>
      <c r="D37" s="3">
        <f t="shared" si="1"/>
        <v>6</v>
      </c>
      <c r="E37" s="3">
        <f t="shared" si="2"/>
        <v>6</v>
      </c>
      <c r="F37" s="5">
        <f t="shared" si="3"/>
        <v>0.49074074074074076</v>
      </c>
      <c r="G37" s="5">
        <f t="shared" si="4"/>
        <v>0.98148148148148151</v>
      </c>
      <c r="H37" s="5">
        <f t="shared" si="5"/>
        <v>1.4722222222222223</v>
      </c>
      <c r="I37" s="10">
        <f t="shared" si="6"/>
        <v>1.962962962962963</v>
      </c>
      <c r="J37" s="5">
        <f t="shared" si="7"/>
        <v>2.4537037037037037</v>
      </c>
    </row>
    <row r="38" spans="2:10" x14ac:dyDescent="0.15">
      <c r="B38" s="2">
        <v>36</v>
      </c>
      <c r="C38" s="2">
        <f t="shared" si="0"/>
        <v>37</v>
      </c>
      <c r="D38" s="3">
        <f t="shared" si="1"/>
        <v>6.0827625302982193</v>
      </c>
      <c r="E38" s="3">
        <f t="shared" si="2"/>
        <v>6.0827625302982193</v>
      </c>
      <c r="F38" s="5">
        <f t="shared" si="3"/>
        <v>0.4843105301698365</v>
      </c>
      <c r="G38" s="5">
        <f t="shared" si="4"/>
        <v>0.96862106033967299</v>
      </c>
      <c r="H38" s="5">
        <f t="shared" si="5"/>
        <v>1.4529315905095095</v>
      </c>
      <c r="I38" s="5">
        <f t="shared" si="6"/>
        <v>1.937242120679346</v>
      </c>
      <c r="J38" s="5">
        <f t="shared" si="7"/>
        <v>2.4215526508491827</v>
      </c>
    </row>
    <row r="39" spans="2:10" x14ac:dyDescent="0.15">
      <c r="B39" s="2">
        <v>37</v>
      </c>
      <c r="C39" s="2">
        <f t="shared" si="0"/>
        <v>38</v>
      </c>
      <c r="D39" s="3">
        <f t="shared" si="1"/>
        <v>6.164414002968976</v>
      </c>
      <c r="E39" s="3">
        <f t="shared" si="2"/>
        <v>6.164414002968976</v>
      </c>
      <c r="F39" s="5">
        <f t="shared" si="3"/>
        <v>0.47812629385908972</v>
      </c>
      <c r="G39" s="5">
        <f t="shared" si="4"/>
        <v>0.95625258771817945</v>
      </c>
      <c r="H39" s="5">
        <f t="shared" si="5"/>
        <v>1.4343788815772691</v>
      </c>
      <c r="I39" s="5">
        <f t="shared" si="6"/>
        <v>1.9125051754363589</v>
      </c>
      <c r="J39" s="5">
        <f t="shared" si="7"/>
        <v>2.3906314692954487</v>
      </c>
    </row>
    <row r="40" spans="2:10" x14ac:dyDescent="0.15">
      <c r="B40" s="2">
        <v>38</v>
      </c>
      <c r="C40" s="2">
        <f t="shared" si="0"/>
        <v>39</v>
      </c>
      <c r="D40" s="3">
        <f t="shared" si="1"/>
        <v>6.2449979983983983</v>
      </c>
      <c r="E40" s="3">
        <f t="shared" si="2"/>
        <v>6.2449979983983983</v>
      </c>
      <c r="F40" s="5">
        <f t="shared" si="3"/>
        <v>0.47217276122012874</v>
      </c>
      <c r="G40" s="5">
        <f t="shared" si="4"/>
        <v>0.94434552244025749</v>
      </c>
      <c r="H40" s="5">
        <f t="shared" si="5"/>
        <v>1.4165182836603862</v>
      </c>
      <c r="I40" s="5">
        <f t="shared" si="6"/>
        <v>1.888691044880515</v>
      </c>
      <c r="J40" s="5">
        <f t="shared" si="7"/>
        <v>2.3608638061006437</v>
      </c>
    </row>
    <row r="41" spans="2:10" x14ac:dyDescent="0.15">
      <c r="B41" s="2">
        <v>39</v>
      </c>
      <c r="C41" s="2">
        <f t="shared" si="0"/>
        <v>40</v>
      </c>
      <c r="D41" s="3">
        <f t="shared" si="1"/>
        <v>6.324555320336759</v>
      </c>
      <c r="E41" s="3">
        <f t="shared" si="2"/>
        <v>6.324555320336759</v>
      </c>
      <c r="F41" s="5">
        <f t="shared" si="3"/>
        <v>0.46643595487483586</v>
      </c>
      <c r="G41" s="5">
        <f t="shared" si="4"/>
        <v>0.93287190974967171</v>
      </c>
      <c r="H41" s="5">
        <f t="shared" si="5"/>
        <v>1.3993078646245076</v>
      </c>
      <c r="I41" s="5">
        <f t="shared" si="6"/>
        <v>1.8657438194993434</v>
      </c>
      <c r="J41" s="5">
        <f t="shared" si="7"/>
        <v>2.3321797743741794</v>
      </c>
    </row>
    <row r="42" spans="2:10" x14ac:dyDescent="0.15">
      <c r="B42" s="2">
        <v>40</v>
      </c>
      <c r="C42" s="2">
        <f t="shared" si="0"/>
        <v>41</v>
      </c>
      <c r="D42" s="3">
        <f t="shared" si="1"/>
        <v>6.4031242374328485</v>
      </c>
      <c r="E42" s="3">
        <f t="shared" si="2"/>
        <v>6.4031242374328485</v>
      </c>
      <c r="F42" s="5">
        <f t="shared" si="3"/>
        <v>0.46090305337856913</v>
      </c>
      <c r="G42" s="5">
        <f t="shared" si="4"/>
        <v>0.92180610675713825</v>
      </c>
      <c r="H42" s="5">
        <f t="shared" si="5"/>
        <v>1.3827091601357073</v>
      </c>
      <c r="I42" s="5">
        <f t="shared" si="6"/>
        <v>1.8436122135142765</v>
      </c>
      <c r="J42" s="5">
        <f t="shared" si="7"/>
        <v>2.3045152668928455</v>
      </c>
    </row>
    <row r="43" spans="2:10" x14ac:dyDescent="0.15">
      <c r="B43" s="2">
        <v>41</v>
      </c>
      <c r="C43" s="2">
        <f t="shared" si="0"/>
        <v>42</v>
      </c>
      <c r="D43" s="3">
        <f t="shared" si="1"/>
        <v>6.4807406984078604</v>
      </c>
      <c r="E43" s="3">
        <f t="shared" si="2"/>
        <v>6.4807406984078604</v>
      </c>
      <c r="F43" s="5">
        <f t="shared" si="3"/>
        <v>0.45556227131665228</v>
      </c>
      <c r="G43" s="5">
        <f t="shared" si="4"/>
        <v>0.91112454263330456</v>
      </c>
      <c r="H43" s="5">
        <f t="shared" si="5"/>
        <v>1.3666868139499568</v>
      </c>
      <c r="I43" s="5">
        <f t="shared" si="6"/>
        <v>1.8222490852666091</v>
      </c>
      <c r="J43" s="5">
        <f t="shared" si="7"/>
        <v>2.2778113565832614</v>
      </c>
    </row>
    <row r="44" spans="2:10" x14ac:dyDescent="0.15">
      <c r="B44" s="2">
        <v>42</v>
      </c>
      <c r="C44" s="2">
        <f t="shared" si="0"/>
        <v>43</v>
      </c>
      <c r="D44" s="3">
        <f t="shared" si="1"/>
        <v>6.5574385243020004</v>
      </c>
      <c r="E44" s="3">
        <f t="shared" si="2"/>
        <v>6.5574385243020004</v>
      </c>
      <c r="F44" s="5">
        <f t="shared" si="3"/>
        <v>0.45040275423815801</v>
      </c>
      <c r="G44" s="5">
        <f t="shared" si="4"/>
        <v>0.90080550847631602</v>
      </c>
      <c r="H44" s="5">
        <f t="shared" si="5"/>
        <v>1.3512082627144739</v>
      </c>
      <c r="I44" s="5">
        <f t="shared" si="6"/>
        <v>1.801611016952632</v>
      </c>
      <c r="J44" s="5">
        <f t="shared" si="7"/>
        <v>2.2520137711907902</v>
      </c>
    </row>
    <row r="45" spans="2:10" x14ac:dyDescent="0.15">
      <c r="B45" s="2">
        <v>43</v>
      </c>
      <c r="C45" s="2">
        <f t="shared" si="0"/>
        <v>44</v>
      </c>
      <c r="D45" s="3">
        <f t="shared" si="1"/>
        <v>6.6332495807107996</v>
      </c>
      <c r="E45" s="3">
        <f t="shared" si="2"/>
        <v>6.6332495807107996</v>
      </c>
      <c r="F45" s="5">
        <f t="shared" si="3"/>
        <v>0.44541448630805985</v>
      </c>
      <c r="G45" s="5">
        <f t="shared" si="4"/>
        <v>0.89082897261611971</v>
      </c>
      <c r="H45" s="5">
        <f t="shared" si="5"/>
        <v>1.3362434589241796</v>
      </c>
      <c r="I45" s="5">
        <f t="shared" si="6"/>
        <v>1.7816579452322394</v>
      </c>
      <c r="J45" s="5">
        <f t="shared" si="7"/>
        <v>2.2270724315402992</v>
      </c>
    </row>
    <row r="46" spans="2:10" x14ac:dyDescent="0.15">
      <c r="B46" s="2">
        <v>44</v>
      </c>
      <c r="C46" s="2">
        <f t="shared" si="0"/>
        <v>45</v>
      </c>
      <c r="D46" s="3">
        <f t="shared" si="1"/>
        <v>6.7082039324993694</v>
      </c>
      <c r="E46" s="3">
        <f t="shared" si="2"/>
        <v>6.7082039324993694</v>
      </c>
      <c r="F46" s="5">
        <f t="shared" si="3"/>
        <v>0.44058820889995848</v>
      </c>
      <c r="G46" s="5">
        <f t="shared" si="4"/>
        <v>0.88117641779991696</v>
      </c>
      <c r="H46" s="5">
        <f t="shared" si="5"/>
        <v>1.3217646266998755</v>
      </c>
      <c r="I46" s="5">
        <f t="shared" si="6"/>
        <v>1.7623528355998339</v>
      </c>
      <c r="J46" s="5">
        <f t="shared" si="7"/>
        <v>2.2029410444997923</v>
      </c>
    </row>
    <row r="47" spans="2:10" x14ac:dyDescent="0.15">
      <c r="B47" s="2">
        <v>45</v>
      </c>
      <c r="C47" s="2">
        <f t="shared" si="0"/>
        <v>46</v>
      </c>
      <c r="D47" s="3">
        <f t="shared" si="1"/>
        <v>6.7823299831252681</v>
      </c>
      <c r="E47" s="3">
        <f t="shared" si="2"/>
        <v>6.7823299831252681</v>
      </c>
      <c r="F47" s="5">
        <f t="shared" si="3"/>
        <v>0.43591534863186981</v>
      </c>
      <c r="G47" s="5">
        <f t="shared" si="4"/>
        <v>0.87183069726373963</v>
      </c>
      <c r="H47" s="5">
        <f t="shared" si="5"/>
        <v>1.3077460458956094</v>
      </c>
      <c r="I47" s="5">
        <f t="shared" si="6"/>
        <v>1.7436613945274793</v>
      </c>
      <c r="J47" s="5">
        <f t="shared" si="7"/>
        <v>2.1795767431593491</v>
      </c>
    </row>
    <row r="48" spans="2:10" x14ac:dyDescent="0.15">
      <c r="B48" s="2">
        <v>46</v>
      </c>
      <c r="C48" s="2">
        <f t="shared" si="0"/>
        <v>47</v>
      </c>
      <c r="D48" s="3">
        <f t="shared" si="1"/>
        <v>6.8556546004010439</v>
      </c>
      <c r="E48" s="3">
        <f t="shared" si="2"/>
        <v>6.8556546004010439</v>
      </c>
      <c r="F48" s="5">
        <f t="shared" si="3"/>
        <v>0.43138795357887966</v>
      </c>
      <c r="G48" s="5">
        <f t="shared" si="4"/>
        <v>0.86277590715775931</v>
      </c>
      <c r="H48" s="5">
        <f t="shared" si="5"/>
        <v>1.294163860736639</v>
      </c>
      <c r="I48" s="5">
        <f t="shared" si="6"/>
        <v>1.7255518143155186</v>
      </c>
      <c r="J48" s="5">
        <f t="shared" si="7"/>
        <v>2.1569397678943982</v>
      </c>
    </row>
    <row r="49" spans="2:10" x14ac:dyDescent="0.15">
      <c r="B49" s="2">
        <v>47</v>
      </c>
      <c r="C49" s="2">
        <f t="shared" si="0"/>
        <v>48</v>
      </c>
      <c r="D49" s="3">
        <f t="shared" si="1"/>
        <v>6.9282032302755088</v>
      </c>
      <c r="E49" s="3">
        <f t="shared" si="2"/>
        <v>6.9282032302755088</v>
      </c>
      <c r="F49" s="5">
        <f t="shared" si="3"/>
        <v>0.42699863658816078</v>
      </c>
      <c r="G49" s="6">
        <f t="shared" si="4"/>
        <v>0.85399727317632157</v>
      </c>
      <c r="H49" s="5">
        <f t="shared" si="5"/>
        <v>1.2809959097644823</v>
      </c>
      <c r="I49" s="5">
        <f t="shared" si="6"/>
        <v>1.7079945463526431</v>
      </c>
      <c r="J49" s="5">
        <f t="shared" si="7"/>
        <v>2.134993182940804</v>
      </c>
    </row>
    <row r="50" spans="2:10" x14ac:dyDescent="0.15">
      <c r="B50" s="2">
        <v>48</v>
      </c>
      <c r="C50" s="2">
        <f t="shared" si="0"/>
        <v>49</v>
      </c>
      <c r="D50" s="3">
        <f t="shared" si="1"/>
        <v>7</v>
      </c>
      <c r="E50" s="3">
        <f t="shared" si="2"/>
        <v>7</v>
      </c>
      <c r="F50" s="5">
        <f t="shared" si="3"/>
        <v>0.42274052478134111</v>
      </c>
      <c r="G50" s="5">
        <f t="shared" si="4"/>
        <v>0.84548104956268222</v>
      </c>
      <c r="H50" s="5">
        <f t="shared" si="5"/>
        <v>1.2682215743440233</v>
      </c>
      <c r="I50" s="5">
        <f t="shared" si="6"/>
        <v>1.6909620991253644</v>
      </c>
      <c r="J50" s="5">
        <f t="shared" si="7"/>
        <v>2.1137026239067054</v>
      </c>
    </row>
    <row r="51" spans="2:10" x14ac:dyDescent="0.15">
      <c r="B51" s="2">
        <v>49</v>
      </c>
      <c r="C51" s="2">
        <f t="shared" si="0"/>
        <v>50</v>
      </c>
      <c r="D51" s="3">
        <f t="shared" si="1"/>
        <v>7.0710678118654755</v>
      </c>
      <c r="E51" s="3">
        <f t="shared" si="2"/>
        <v>7.0710678118654755</v>
      </c>
      <c r="F51" s="5">
        <f t="shared" si="3"/>
        <v>0.41860721446243604</v>
      </c>
      <c r="G51" s="5">
        <f t="shared" si="4"/>
        <v>0.83721442892487208</v>
      </c>
      <c r="H51" s="5">
        <f t="shared" si="5"/>
        <v>1.2558216433873082</v>
      </c>
      <c r="I51" s="5">
        <f t="shared" si="6"/>
        <v>1.6744288578497442</v>
      </c>
      <c r="J51" s="5">
        <f t="shared" si="7"/>
        <v>2.0930360723121804</v>
      </c>
    </row>
    <row r="52" spans="2:10" x14ac:dyDescent="0.15">
      <c r="B52" s="2">
        <v>50</v>
      </c>
      <c r="C52" s="2">
        <f t="shared" si="0"/>
        <v>51</v>
      </c>
      <c r="D52" s="3">
        <f t="shared" si="1"/>
        <v>7.1414284285428504</v>
      </c>
      <c r="E52" s="3">
        <f t="shared" si="2"/>
        <v>7.1414284285428504</v>
      </c>
      <c r="F52" s="5">
        <f t="shared" si="3"/>
        <v>0.41459273076123421</v>
      </c>
      <c r="G52" s="5">
        <f t="shared" si="4"/>
        <v>0.82918546152246841</v>
      </c>
      <c r="H52" s="5">
        <f t="shared" si="5"/>
        <v>1.2437781922837026</v>
      </c>
      <c r="I52" s="5">
        <f t="shared" si="6"/>
        <v>1.6583709230449368</v>
      </c>
      <c r="J52" s="5">
        <f t="shared" si="7"/>
        <v>2.0729636538061711</v>
      </c>
    </row>
    <row r="53" spans="2:10" x14ac:dyDescent="0.15">
      <c r="B53" s="2">
        <v>51</v>
      </c>
      <c r="C53" s="2">
        <f t="shared" si="0"/>
        <v>52</v>
      </c>
      <c r="D53" s="3">
        <f t="shared" si="1"/>
        <v>7.2111025509279782</v>
      </c>
      <c r="E53" s="3">
        <f t="shared" si="2"/>
        <v>7.2111025509279782</v>
      </c>
      <c r="F53" s="5">
        <f t="shared" si="3"/>
        <v>0.41069149143598699</v>
      </c>
      <c r="G53" s="5">
        <f t="shared" si="4"/>
        <v>0.82138298287197398</v>
      </c>
      <c r="H53" s="5">
        <f t="shared" si="5"/>
        <v>1.232074474307961</v>
      </c>
      <c r="I53" s="5">
        <f t="shared" si="6"/>
        <v>1.642765965743948</v>
      </c>
      <c r="J53" s="5">
        <f t="shared" si="7"/>
        <v>2.0534574571799351</v>
      </c>
    </row>
    <row r="54" spans="2:10" x14ac:dyDescent="0.15">
      <c r="B54" s="2">
        <v>52</v>
      </c>
      <c r="C54" s="2">
        <f t="shared" si="0"/>
        <v>53</v>
      </c>
      <c r="D54" s="3">
        <f t="shared" si="1"/>
        <v>7.2801098892805181</v>
      </c>
      <c r="E54" s="3">
        <f t="shared" si="2"/>
        <v>7.2801098892805181</v>
      </c>
      <c r="F54" s="5">
        <f t="shared" si="3"/>
        <v>0.4068982743385694</v>
      </c>
      <c r="G54" s="5">
        <f t="shared" si="4"/>
        <v>0.8137965486771388</v>
      </c>
      <c r="H54" s="5">
        <f t="shared" si="5"/>
        <v>1.2206948230157082</v>
      </c>
      <c r="I54" s="5">
        <f t="shared" si="6"/>
        <v>1.6275930973542776</v>
      </c>
      <c r="J54" s="5">
        <f t="shared" si="7"/>
        <v>2.0344913716928472</v>
      </c>
    </row>
    <row r="55" spans="2:10" x14ac:dyDescent="0.15">
      <c r="B55" s="2">
        <v>53</v>
      </c>
      <c r="C55" s="2">
        <f t="shared" si="0"/>
        <v>54</v>
      </c>
      <c r="D55" s="3">
        <f t="shared" si="1"/>
        <v>7.3484692283495345</v>
      </c>
      <c r="E55" s="3">
        <f t="shared" si="2"/>
        <v>7.3484692283495345</v>
      </c>
      <c r="F55" s="5">
        <f t="shared" si="3"/>
        <v>0.40320818811245729</v>
      </c>
      <c r="G55" s="5">
        <f t="shared" si="4"/>
        <v>0.80641637622491458</v>
      </c>
      <c r="H55" s="5">
        <f t="shared" si="5"/>
        <v>1.2096245643373718</v>
      </c>
      <c r="I55" s="5">
        <f t="shared" si="6"/>
        <v>1.6128327524498292</v>
      </c>
      <c r="J55" s="5">
        <f t="shared" si="7"/>
        <v>2.0160409405622866</v>
      </c>
    </row>
    <row r="56" spans="2:10" x14ac:dyDescent="0.15">
      <c r="B56" s="2">
        <v>54</v>
      </c>
      <c r="C56" s="2">
        <f t="shared" si="0"/>
        <v>55</v>
      </c>
      <c r="D56" s="3">
        <f t="shared" si="1"/>
        <v>7.416198487095663</v>
      </c>
      <c r="E56" s="3">
        <f t="shared" si="2"/>
        <v>7.416198487095663</v>
      </c>
      <c r="F56" s="5">
        <f t="shared" si="3"/>
        <v>0.39961664575093986</v>
      </c>
      <c r="G56" s="5">
        <f t="shared" si="4"/>
        <v>0.79923329150187972</v>
      </c>
      <c r="H56" s="5">
        <f t="shared" si="5"/>
        <v>1.1988499372528196</v>
      </c>
      <c r="I56" s="5">
        <f t="shared" si="6"/>
        <v>1.5984665830037594</v>
      </c>
      <c r="J56" s="5">
        <f t="shared" si="7"/>
        <v>1.9980832287546992</v>
      </c>
    </row>
    <row r="57" spans="2:10" x14ac:dyDescent="0.15">
      <c r="B57" s="2">
        <v>55</v>
      </c>
      <c r="C57" s="2">
        <f t="shared" si="0"/>
        <v>56</v>
      </c>
      <c r="D57" s="3">
        <f t="shared" si="1"/>
        <v>7.4833147735478827</v>
      </c>
      <c r="E57" s="3">
        <f t="shared" si="2"/>
        <v>7.4833147735478827</v>
      </c>
      <c r="F57" s="5">
        <f t="shared" si="3"/>
        <v>0.39611934069162902</v>
      </c>
      <c r="G57" s="5">
        <f t="shared" si="4"/>
        <v>0.79223868138325804</v>
      </c>
      <c r="H57" s="5">
        <f t="shared" si="5"/>
        <v>1.1883580220748871</v>
      </c>
      <c r="I57" s="5">
        <f t="shared" si="6"/>
        <v>1.5844773627665161</v>
      </c>
      <c r="J57" s="5">
        <f t="shared" si="7"/>
        <v>1.9805967034581451</v>
      </c>
    </row>
    <row r="58" spans="2:10" x14ac:dyDescent="0.15">
      <c r="B58" s="2">
        <v>56</v>
      </c>
      <c r="C58" s="2">
        <f t="shared" si="0"/>
        <v>57</v>
      </c>
      <c r="D58" s="3">
        <f t="shared" si="1"/>
        <v>7.5498344352707498</v>
      </c>
      <c r="E58" s="3">
        <f t="shared" si="2"/>
        <v>7.5498344352707498</v>
      </c>
      <c r="F58" s="5">
        <f t="shared" si="3"/>
        <v>0.39271222516489895</v>
      </c>
      <c r="G58" s="5">
        <f t="shared" si="4"/>
        <v>0.78542445032979791</v>
      </c>
      <c r="H58" s="5">
        <f t="shared" si="5"/>
        <v>1.1781366754946969</v>
      </c>
      <c r="I58" s="5">
        <f t="shared" si="6"/>
        <v>1.5708489006595958</v>
      </c>
      <c r="J58" s="10">
        <f t="shared" si="7"/>
        <v>1.9635611258244947</v>
      </c>
    </row>
    <row r="59" spans="2:10" x14ac:dyDescent="0.15">
      <c r="B59" s="2">
        <v>57</v>
      </c>
      <c r="C59" s="2">
        <f t="shared" si="0"/>
        <v>58</v>
      </c>
      <c r="D59" s="3">
        <f t="shared" si="1"/>
        <v>7.6157731058639087</v>
      </c>
      <c r="E59" s="3">
        <f t="shared" si="2"/>
        <v>7.6157731058639087</v>
      </c>
      <c r="F59" s="5">
        <f t="shared" si="3"/>
        <v>0.38939149054952205</v>
      </c>
      <c r="G59" s="5">
        <f t="shared" si="4"/>
        <v>0.77878298109904409</v>
      </c>
      <c r="H59" s="5">
        <f t="shared" si="5"/>
        <v>1.168174471648566</v>
      </c>
      <c r="I59" s="5">
        <f t="shared" si="6"/>
        <v>1.5575659621980882</v>
      </c>
      <c r="J59" s="5">
        <f t="shared" si="7"/>
        <v>1.9469574527476103</v>
      </c>
    </row>
    <row r="60" spans="2:10" x14ac:dyDescent="0.15">
      <c r="B60" s="2">
        <v>58</v>
      </c>
      <c r="C60" s="2">
        <f t="shared" si="0"/>
        <v>59</v>
      </c>
      <c r="D60" s="3">
        <f t="shared" si="1"/>
        <v>7.6811457478686078</v>
      </c>
      <c r="E60" s="3">
        <f t="shared" si="2"/>
        <v>7.6811457478686078</v>
      </c>
      <c r="F60" s="5">
        <f t="shared" si="3"/>
        <v>0.3861535495193929</v>
      </c>
      <c r="G60" s="5">
        <f t="shared" si="4"/>
        <v>0.7723070990387858</v>
      </c>
      <c r="H60" s="5">
        <f t="shared" si="5"/>
        <v>1.1584606485581788</v>
      </c>
      <c r="I60" s="5">
        <f t="shared" si="6"/>
        <v>1.5446141980775716</v>
      </c>
      <c r="J60" s="5">
        <f t="shared" si="7"/>
        <v>1.9307677475969645</v>
      </c>
    </row>
    <row r="61" spans="2:10" x14ac:dyDescent="0.15">
      <c r="B61" s="2">
        <v>59</v>
      </c>
      <c r="C61" s="2">
        <f t="shared" si="0"/>
        <v>60</v>
      </c>
      <c r="D61" s="3">
        <f t="shared" si="1"/>
        <v>7.745966692414834</v>
      </c>
      <c r="E61" s="3">
        <f t="shared" si="2"/>
        <v>7.745966692414834</v>
      </c>
      <c r="F61" s="5">
        <f t="shared" si="3"/>
        <v>0.38299501979162232</v>
      </c>
      <c r="G61" s="5">
        <f t="shared" si="4"/>
        <v>0.76599003958324463</v>
      </c>
      <c r="H61" s="5">
        <f t="shared" si="5"/>
        <v>1.1489850593748669</v>
      </c>
      <c r="I61" s="5">
        <f t="shared" si="6"/>
        <v>1.5319800791664893</v>
      </c>
      <c r="J61" s="5">
        <f t="shared" si="7"/>
        <v>1.9149750989581116</v>
      </c>
    </row>
    <row r="62" spans="2:10" x14ac:dyDescent="0.15">
      <c r="B62" s="2">
        <v>60</v>
      </c>
      <c r="C62" s="2">
        <f t="shared" si="0"/>
        <v>61</v>
      </c>
      <c r="D62" s="3">
        <f t="shared" si="1"/>
        <v>7.810249675906654</v>
      </c>
      <c r="E62" s="3">
        <f t="shared" si="2"/>
        <v>7.810249675906654</v>
      </c>
      <c r="F62" s="5">
        <f t="shared" si="3"/>
        <v>0.37991270930908483</v>
      </c>
      <c r="G62" s="5">
        <f t="shared" si="4"/>
        <v>0.75982541861816966</v>
      </c>
      <c r="H62" s="5">
        <f t="shared" si="5"/>
        <v>1.1397381279272545</v>
      </c>
      <c r="I62" s="5">
        <f t="shared" si="6"/>
        <v>1.5196508372363393</v>
      </c>
      <c r="J62" s="5">
        <f t="shared" si="7"/>
        <v>1.8995635465454241</v>
      </c>
    </row>
    <row r="63" spans="2:10" x14ac:dyDescent="0.15">
      <c r="B63" s="2">
        <v>61</v>
      </c>
      <c r="C63" s="2">
        <f t="shared" si="0"/>
        <v>62</v>
      </c>
      <c r="D63" s="3">
        <f t="shared" si="1"/>
        <v>7.8740078740118111</v>
      </c>
      <c r="E63" s="3">
        <f t="shared" si="2"/>
        <v>7.8740078740118111</v>
      </c>
      <c r="F63" s="5">
        <f t="shared" si="3"/>
        <v>0.37690360271024281</v>
      </c>
      <c r="G63" s="5">
        <f t="shared" si="4"/>
        <v>0.75380720542048563</v>
      </c>
      <c r="H63" s="5">
        <f t="shared" si="5"/>
        <v>1.1307108081307284</v>
      </c>
      <c r="I63" s="5">
        <f t="shared" si="6"/>
        <v>1.5076144108409713</v>
      </c>
      <c r="J63" s="5">
        <f t="shared" si="7"/>
        <v>1.8845180135512141</v>
      </c>
    </row>
    <row r="64" spans="2:10" x14ac:dyDescent="0.15">
      <c r="B64" s="2">
        <v>62</v>
      </c>
      <c r="C64" s="2">
        <f t="shared" si="0"/>
        <v>63</v>
      </c>
      <c r="D64" s="3">
        <f t="shared" si="1"/>
        <v>7.9372539331937721</v>
      </c>
      <c r="E64" s="3">
        <f t="shared" si="2"/>
        <v>7.9372539331937721</v>
      </c>
      <c r="F64" s="5">
        <f t="shared" si="3"/>
        <v>0.37396484895621945</v>
      </c>
      <c r="G64" s="5">
        <f t="shared" si="4"/>
        <v>0.74792969791243891</v>
      </c>
      <c r="H64" s="5">
        <f t="shared" si="5"/>
        <v>1.1218945468686583</v>
      </c>
      <c r="I64" s="5">
        <f t="shared" si="6"/>
        <v>1.4958593958248778</v>
      </c>
      <c r="J64" s="5">
        <f t="shared" si="7"/>
        <v>1.8698242447810973</v>
      </c>
    </row>
    <row r="65" spans="2:10" x14ac:dyDescent="0.15">
      <c r="B65" s="2">
        <v>63</v>
      </c>
      <c r="C65" s="2">
        <f t="shared" si="0"/>
        <v>64</v>
      </c>
      <c r="D65" s="3">
        <f t="shared" si="1"/>
        <v>8</v>
      </c>
      <c r="E65" s="3">
        <f t="shared" si="2"/>
        <v>8</v>
      </c>
      <c r="F65" s="5">
        <f t="shared" si="3"/>
        <v>0.37109375</v>
      </c>
      <c r="G65" s="5">
        <f t="shared" si="4"/>
        <v>0.7421875</v>
      </c>
      <c r="H65" s="5">
        <f t="shared" si="5"/>
        <v>1.11328125</v>
      </c>
      <c r="I65" s="5">
        <f t="shared" si="6"/>
        <v>1.484375</v>
      </c>
      <c r="J65" s="5">
        <f t="shared" si="7"/>
        <v>1.85546875</v>
      </c>
    </row>
    <row r="66" spans="2:10" x14ac:dyDescent="0.15">
      <c r="B66" s="2">
        <v>64</v>
      </c>
      <c r="C66" s="2">
        <f t="shared" si="0"/>
        <v>65</v>
      </c>
      <c r="D66" s="3">
        <f t="shared" si="1"/>
        <v>8.0622577482985491</v>
      </c>
      <c r="E66" s="3">
        <f t="shared" si="2"/>
        <v>8.0622577482985491</v>
      </c>
      <c r="F66" s="5">
        <f t="shared" si="3"/>
        <v>0.36828775039564987</v>
      </c>
      <c r="G66" s="5">
        <f t="shared" si="4"/>
        <v>0.73657550079129974</v>
      </c>
      <c r="H66" s="5">
        <f t="shared" si="5"/>
        <v>1.1048632511869496</v>
      </c>
      <c r="I66" s="5">
        <f t="shared" si="6"/>
        <v>1.4731510015825995</v>
      </c>
      <c r="J66" s="5">
        <f t="shared" si="7"/>
        <v>1.8414387519782494</v>
      </c>
    </row>
    <row r="67" spans="2:10" x14ac:dyDescent="0.15">
      <c r="B67" s="2">
        <v>65</v>
      </c>
      <c r="C67" s="2">
        <f t="shared" si="0"/>
        <v>66</v>
      </c>
      <c r="D67" s="3">
        <f t="shared" si="1"/>
        <v>8.1240384046359608</v>
      </c>
      <c r="E67" s="3">
        <f t="shared" si="2"/>
        <v>8.1240384046359608</v>
      </c>
      <c r="F67" s="5">
        <f t="shared" si="3"/>
        <v>0.36554442775680623</v>
      </c>
      <c r="G67" s="5">
        <f t="shared" si="4"/>
        <v>0.73108885551361247</v>
      </c>
      <c r="H67" s="5">
        <f t="shared" si="5"/>
        <v>1.0966332832704186</v>
      </c>
      <c r="I67" s="5">
        <f t="shared" si="6"/>
        <v>1.4621777110272249</v>
      </c>
      <c r="J67" s="5">
        <f t="shared" si="7"/>
        <v>1.8277221387840312</v>
      </c>
    </row>
    <row r="68" spans="2:10" x14ac:dyDescent="0.15">
      <c r="B68" s="2">
        <v>66</v>
      </c>
      <c r="C68" s="2">
        <f t="shared" ref="C68:C102" si="8">B68+1</f>
        <v>67</v>
      </c>
      <c r="D68" s="3">
        <f t="shared" ref="D68:D102" si="9">C68^0.5</f>
        <v>8.1853527718724504</v>
      </c>
      <c r="E68" s="3">
        <f t="shared" ref="E68:E102" si="10">D68</f>
        <v>8.1853527718724504</v>
      </c>
      <c r="F68" s="5">
        <f t="shared" ref="F68:F102" si="11">(1+3*B68)/E68^3</f>
        <v>0.36286148398365276</v>
      </c>
      <c r="G68" s="5">
        <f t="shared" ref="G68:G102" si="12">F68*2</f>
        <v>0.72572296796730551</v>
      </c>
      <c r="H68" s="5">
        <f t="shared" ref="H68:H102" si="13">F68*3</f>
        <v>1.0885844519509582</v>
      </c>
      <c r="I68" s="5">
        <f t="shared" ref="I68:I102" si="14">F68*4</f>
        <v>1.451445935934611</v>
      </c>
      <c r="J68" s="5">
        <f t="shared" ref="J68:J102" si="15">F68*5</f>
        <v>1.8143074199182638</v>
      </c>
    </row>
    <row r="69" spans="2:10" x14ac:dyDescent="0.15">
      <c r="B69" s="2">
        <v>67</v>
      </c>
      <c r="C69" s="2">
        <f t="shared" si="8"/>
        <v>68</v>
      </c>
      <c r="D69" s="3">
        <f t="shared" si="9"/>
        <v>8.2462112512353212</v>
      </c>
      <c r="E69" s="3">
        <f t="shared" si="10"/>
        <v>8.2462112512353212</v>
      </c>
      <c r="F69" s="5">
        <f t="shared" si="11"/>
        <v>0.3602367371863181</v>
      </c>
      <c r="G69" s="5">
        <f t="shared" si="12"/>
        <v>0.7204734743726362</v>
      </c>
      <c r="H69" s="5">
        <f t="shared" si="13"/>
        <v>1.0807102115589542</v>
      </c>
      <c r="I69" s="5">
        <f t="shared" si="14"/>
        <v>1.4409469487452724</v>
      </c>
      <c r="J69" s="5">
        <f t="shared" si="15"/>
        <v>1.8011836859315906</v>
      </c>
    </row>
    <row r="70" spans="2:10" x14ac:dyDescent="0.15">
      <c r="B70" s="2">
        <v>68</v>
      </c>
      <c r="C70" s="2">
        <f t="shared" si="8"/>
        <v>69</v>
      </c>
      <c r="D70" s="3">
        <f t="shared" si="9"/>
        <v>8.3066238629180749</v>
      </c>
      <c r="E70" s="3">
        <f t="shared" si="10"/>
        <v>8.3066238629180749</v>
      </c>
      <c r="F70" s="5">
        <f t="shared" si="11"/>
        <v>0.35766811424032874</v>
      </c>
      <c r="G70" s="5">
        <f t="shared" si="12"/>
        <v>0.71533622848065748</v>
      </c>
      <c r="H70" s="5">
        <f t="shared" si="13"/>
        <v>1.0730043427209863</v>
      </c>
      <c r="I70" s="5">
        <f t="shared" si="14"/>
        <v>1.430672456961315</v>
      </c>
      <c r="J70" s="5">
        <f t="shared" si="15"/>
        <v>1.7883405712016436</v>
      </c>
    </row>
    <row r="71" spans="2:10" x14ac:dyDescent="0.15">
      <c r="B71" s="2">
        <v>69</v>
      </c>
      <c r="C71" s="2">
        <f t="shared" si="8"/>
        <v>70</v>
      </c>
      <c r="D71" s="3">
        <f t="shared" si="9"/>
        <v>8.3666002653407556</v>
      </c>
      <c r="E71" s="3">
        <f t="shared" si="10"/>
        <v>8.3666002653407556</v>
      </c>
      <c r="F71" s="5">
        <f t="shared" si="11"/>
        <v>0.3551536439165055</v>
      </c>
      <c r="G71" s="5">
        <f t="shared" si="12"/>
        <v>0.710307287833011</v>
      </c>
      <c r="H71" s="5">
        <f t="shared" si="13"/>
        <v>1.0654609317495165</v>
      </c>
      <c r="I71" s="5">
        <f t="shared" si="14"/>
        <v>1.420614575666022</v>
      </c>
      <c r="J71" s="5">
        <f t="shared" si="15"/>
        <v>1.7757682195825275</v>
      </c>
    </row>
    <row r="72" spans="2:10" x14ac:dyDescent="0.15">
      <c r="B72" s="2">
        <v>70</v>
      </c>
      <c r="C72" s="2">
        <f t="shared" si="8"/>
        <v>71</v>
      </c>
      <c r="D72" s="3">
        <f t="shared" si="9"/>
        <v>8.426149773176359</v>
      </c>
      <c r="E72" s="3">
        <f t="shared" si="10"/>
        <v>8.426149773176359</v>
      </c>
      <c r="F72" s="5">
        <f t="shared" si="11"/>
        <v>0.35269145053366624</v>
      </c>
      <c r="G72" s="5">
        <f t="shared" si="12"/>
        <v>0.70538290106733248</v>
      </c>
      <c r="H72" s="5">
        <f t="shared" si="13"/>
        <v>1.0580743516009987</v>
      </c>
      <c r="I72" s="5">
        <f t="shared" si="14"/>
        <v>1.410765802134665</v>
      </c>
      <c r="J72" s="5">
        <f t="shared" si="15"/>
        <v>1.7634572526683312</v>
      </c>
    </row>
    <row r="73" spans="2:10" x14ac:dyDescent="0.15">
      <c r="B73" s="2">
        <v>71</v>
      </c>
      <c r="C73" s="2">
        <f t="shared" si="8"/>
        <v>72</v>
      </c>
      <c r="D73" s="3">
        <f t="shared" si="9"/>
        <v>8.4852813742385695</v>
      </c>
      <c r="E73" s="3">
        <f t="shared" si="10"/>
        <v>8.4852813742385695</v>
      </c>
      <c r="F73" s="5">
        <f t="shared" si="11"/>
        <v>0.35027974808778062</v>
      </c>
      <c r="G73" s="5">
        <f t="shared" si="12"/>
        <v>0.70055949617556124</v>
      </c>
      <c r="H73" s="5">
        <f t="shared" si="13"/>
        <v>1.0508392442633419</v>
      </c>
      <c r="I73" s="5">
        <f t="shared" si="14"/>
        <v>1.4011189923511225</v>
      </c>
      <c r="J73" s="5">
        <f t="shared" si="15"/>
        <v>1.7513987404389031</v>
      </c>
    </row>
    <row r="74" spans="2:10" x14ac:dyDescent="0.15">
      <c r="B74" s="2">
        <v>72</v>
      </c>
      <c r="C74" s="2">
        <f t="shared" si="8"/>
        <v>73</v>
      </c>
      <c r="D74" s="3">
        <f t="shared" si="9"/>
        <v>8.5440037453175304</v>
      </c>
      <c r="E74" s="3">
        <f t="shared" si="10"/>
        <v>8.5440037453175304</v>
      </c>
      <c r="F74" s="5">
        <f t="shared" si="11"/>
        <v>0.34791683481589508</v>
      </c>
      <c r="G74" s="5">
        <f t="shared" si="12"/>
        <v>0.69583366963179016</v>
      </c>
      <c r="H74" s="5">
        <f t="shared" si="13"/>
        <v>1.0437505044476851</v>
      </c>
      <c r="I74" s="5">
        <f t="shared" si="14"/>
        <v>1.3916673392635803</v>
      </c>
      <c r="J74" s="5">
        <f t="shared" si="15"/>
        <v>1.7395841740794755</v>
      </c>
    </row>
    <row r="75" spans="2:10" x14ac:dyDescent="0.15">
      <c r="B75" s="2">
        <v>73</v>
      </c>
      <c r="C75" s="2">
        <f t="shared" si="8"/>
        <v>74</v>
      </c>
      <c r="D75" s="3">
        <f t="shared" si="9"/>
        <v>8.6023252670426267</v>
      </c>
      <c r="E75" s="3">
        <f t="shared" si="10"/>
        <v>8.6023252670426267</v>
      </c>
      <c r="F75" s="5">
        <f t="shared" si="11"/>
        <v>0.34560108815730056</v>
      </c>
      <c r="G75" s="5">
        <f t="shared" si="12"/>
        <v>0.69120217631460112</v>
      </c>
      <c r="H75" s="5">
        <f t="shared" si="13"/>
        <v>1.0368032644719016</v>
      </c>
      <c r="I75" s="5">
        <f t="shared" si="14"/>
        <v>1.3824043526292022</v>
      </c>
      <c r="J75" s="5">
        <f t="shared" si="15"/>
        <v>1.7280054407865029</v>
      </c>
    </row>
    <row r="76" spans="2:10" x14ac:dyDescent="0.15">
      <c r="B76" s="2">
        <v>74</v>
      </c>
      <c r="C76" s="2">
        <f t="shared" si="8"/>
        <v>75</v>
      </c>
      <c r="D76" s="3">
        <f t="shared" si="9"/>
        <v>8.6602540378443873</v>
      </c>
      <c r="E76" s="3">
        <f t="shared" si="10"/>
        <v>8.6602540378443873</v>
      </c>
      <c r="F76" s="5">
        <f t="shared" si="11"/>
        <v>0.34333096007809738</v>
      </c>
      <c r="G76" s="5">
        <f t="shared" si="12"/>
        <v>0.68666192015619476</v>
      </c>
      <c r="H76" s="5">
        <f t="shared" si="13"/>
        <v>1.0299928802342921</v>
      </c>
      <c r="I76" s="5">
        <f t="shared" si="14"/>
        <v>1.3733238403123895</v>
      </c>
      <c r="J76" s="5">
        <f t="shared" si="15"/>
        <v>1.7166548003904869</v>
      </c>
    </row>
    <row r="77" spans="2:10" x14ac:dyDescent="0.15">
      <c r="B77" s="2">
        <v>75</v>
      </c>
      <c r="C77" s="2">
        <f t="shared" si="8"/>
        <v>76</v>
      </c>
      <c r="D77" s="3">
        <f t="shared" si="9"/>
        <v>8.717797887081348</v>
      </c>
      <c r="E77" s="3">
        <f t="shared" si="10"/>
        <v>8.717797887081348</v>
      </c>
      <c r="F77" s="5">
        <f t="shared" si="11"/>
        <v>0.3411049727285983</v>
      </c>
      <c r="G77" s="5">
        <f t="shared" si="12"/>
        <v>0.6822099454571966</v>
      </c>
      <c r="H77" s="5">
        <f t="shared" si="13"/>
        <v>1.023314918185795</v>
      </c>
      <c r="I77" s="5">
        <f t="shared" si="14"/>
        <v>1.3644198909143932</v>
      </c>
      <c r="J77" s="5">
        <f t="shared" si="15"/>
        <v>1.7055248636429914</v>
      </c>
    </row>
    <row r="78" spans="2:10" x14ac:dyDescent="0.15">
      <c r="B78" s="2">
        <v>76</v>
      </c>
      <c r="C78" s="2">
        <f t="shared" si="8"/>
        <v>77</v>
      </c>
      <c r="D78" s="3">
        <f t="shared" si="9"/>
        <v>8.7749643873921226</v>
      </c>
      <c r="E78" s="3">
        <f t="shared" si="10"/>
        <v>8.7749643873921226</v>
      </c>
      <c r="F78" s="5">
        <f t="shared" si="11"/>
        <v>0.33892171440593616</v>
      </c>
      <c r="G78" s="5">
        <f t="shared" si="12"/>
        <v>0.67784342881187232</v>
      </c>
      <c r="H78" s="5">
        <f t="shared" si="13"/>
        <v>1.0167651432178084</v>
      </c>
      <c r="I78" s="5">
        <f t="shared" si="14"/>
        <v>1.3556868576237446</v>
      </c>
      <c r="J78" s="5">
        <f t="shared" si="15"/>
        <v>1.6946085720296808</v>
      </c>
    </row>
    <row r="79" spans="2:10" x14ac:dyDescent="0.15">
      <c r="B79" s="2">
        <v>77</v>
      </c>
      <c r="C79" s="2">
        <f t="shared" si="8"/>
        <v>78</v>
      </c>
      <c r="D79" s="3">
        <f t="shared" si="9"/>
        <v>8.8317608663278477</v>
      </c>
      <c r="E79" s="3">
        <f t="shared" si="10"/>
        <v>8.8317608663278477</v>
      </c>
      <c r="F79" s="5">
        <f t="shared" si="11"/>
        <v>0.336779835796854</v>
      </c>
      <c r="G79" s="5">
        <f t="shared" si="12"/>
        <v>0.673559671593708</v>
      </c>
      <c r="H79" s="5">
        <f t="shared" si="13"/>
        <v>1.0103395073905621</v>
      </c>
      <c r="I79" s="5">
        <f t="shared" si="14"/>
        <v>1.347119343187416</v>
      </c>
      <c r="J79" s="5">
        <f t="shared" si="15"/>
        <v>1.6838991789842699</v>
      </c>
    </row>
    <row r="80" spans="2:10" x14ac:dyDescent="0.15">
      <c r="B80" s="2">
        <v>78</v>
      </c>
      <c r="C80" s="2">
        <f t="shared" si="8"/>
        <v>79</v>
      </c>
      <c r="D80" s="3">
        <f t="shared" si="9"/>
        <v>8.8881944173155887</v>
      </c>
      <c r="E80" s="3">
        <f t="shared" si="10"/>
        <v>8.8881944173155887</v>
      </c>
      <c r="F80" s="5">
        <f t="shared" si="11"/>
        <v>0.33467804647799448</v>
      </c>
      <c r="G80" s="5">
        <f t="shared" si="12"/>
        <v>0.66935609295598897</v>
      </c>
      <c r="H80" s="5">
        <f t="shared" si="13"/>
        <v>1.0040341394339833</v>
      </c>
      <c r="I80" s="5">
        <f t="shared" si="14"/>
        <v>1.3387121859119779</v>
      </c>
      <c r="J80" s="5">
        <f t="shared" si="15"/>
        <v>1.6733902323899725</v>
      </c>
    </row>
    <row r="81" spans="2:10" x14ac:dyDescent="0.15">
      <c r="B81" s="2">
        <v>79</v>
      </c>
      <c r="C81" s="2">
        <f t="shared" si="8"/>
        <v>80</v>
      </c>
      <c r="D81" s="3">
        <f t="shared" si="9"/>
        <v>8.9442719099991592</v>
      </c>
      <c r="E81" s="3">
        <f t="shared" si="10"/>
        <v>8.9442719099991592</v>
      </c>
      <c r="F81" s="5">
        <f t="shared" si="11"/>
        <v>0.33261511165309365</v>
      </c>
      <c r="G81" s="5">
        <f t="shared" si="12"/>
        <v>0.66523022330618731</v>
      </c>
      <c r="H81" s="5">
        <f t="shared" si="13"/>
        <v>0.99784533495928096</v>
      </c>
      <c r="I81" s="5">
        <f t="shared" si="14"/>
        <v>1.3304604466123746</v>
      </c>
      <c r="J81" s="5">
        <f t="shared" si="15"/>
        <v>1.6630755582654682</v>
      </c>
    </row>
    <row r="82" spans="2:10" x14ac:dyDescent="0.15">
      <c r="B82" s="2">
        <v>80</v>
      </c>
      <c r="C82" s="2">
        <f t="shared" si="8"/>
        <v>81</v>
      </c>
      <c r="D82" s="3">
        <f t="shared" si="9"/>
        <v>9</v>
      </c>
      <c r="E82" s="3">
        <f t="shared" si="10"/>
        <v>9</v>
      </c>
      <c r="F82" s="5">
        <f t="shared" si="11"/>
        <v>0.33058984910836764</v>
      </c>
      <c r="G82" s="5">
        <f t="shared" si="12"/>
        <v>0.66117969821673528</v>
      </c>
      <c r="H82" s="5">
        <f t="shared" si="13"/>
        <v>0.99176954732510292</v>
      </c>
      <c r="I82" s="5">
        <f t="shared" si="14"/>
        <v>1.3223593964334706</v>
      </c>
      <c r="J82" s="5">
        <f t="shared" si="15"/>
        <v>1.6529492455418382</v>
      </c>
    </row>
    <row r="83" spans="2:10" x14ac:dyDescent="0.15">
      <c r="B83" s="2">
        <v>81</v>
      </c>
      <c r="C83" s="2">
        <f t="shared" si="8"/>
        <v>82</v>
      </c>
      <c r="D83" s="3">
        <f t="shared" si="9"/>
        <v>9.0553851381374173</v>
      </c>
      <c r="E83" s="3">
        <f t="shared" si="10"/>
        <v>9.0553851381374173</v>
      </c>
      <c r="F83" s="5">
        <f t="shared" si="11"/>
        <v>0.32860112636905553</v>
      </c>
      <c r="G83" s="5">
        <f t="shared" si="12"/>
        <v>0.65720225273811106</v>
      </c>
      <c r="H83" s="5">
        <f t="shared" si="13"/>
        <v>0.98580337910716653</v>
      </c>
      <c r="I83" s="5">
        <f t="shared" si="14"/>
        <v>1.3144045054762221</v>
      </c>
      <c r="J83" s="5">
        <f t="shared" si="15"/>
        <v>1.6430056318452777</v>
      </c>
    </row>
    <row r="84" spans="2:10" x14ac:dyDescent="0.15">
      <c r="B84" s="2">
        <v>82</v>
      </c>
      <c r="C84" s="2">
        <f t="shared" si="8"/>
        <v>83</v>
      </c>
      <c r="D84" s="3">
        <f t="shared" si="9"/>
        <v>9.1104335791442992</v>
      </c>
      <c r="E84" s="3">
        <f t="shared" si="10"/>
        <v>9.1104335791442992</v>
      </c>
      <c r="F84" s="5">
        <f t="shared" si="11"/>
        <v>0.32664785804160862</v>
      </c>
      <c r="G84" s="5">
        <f t="shared" si="12"/>
        <v>0.65329571608321724</v>
      </c>
      <c r="H84" s="5">
        <f t="shared" si="13"/>
        <v>0.97994357412482591</v>
      </c>
      <c r="I84" s="5">
        <f t="shared" si="14"/>
        <v>1.3065914321664345</v>
      </c>
      <c r="J84" s="5">
        <f t="shared" si="15"/>
        <v>1.633239290208043</v>
      </c>
    </row>
    <row r="85" spans="2:10" x14ac:dyDescent="0.15">
      <c r="B85" s="2">
        <v>83</v>
      </c>
      <c r="C85" s="2">
        <f t="shared" si="8"/>
        <v>84</v>
      </c>
      <c r="D85" s="3">
        <f t="shared" si="9"/>
        <v>9.1651513899116797</v>
      </c>
      <c r="E85" s="3">
        <f t="shared" si="10"/>
        <v>9.1651513899116797</v>
      </c>
      <c r="F85" s="5">
        <f t="shared" si="11"/>
        <v>0.32472900332736959</v>
      </c>
      <c r="G85" s="5">
        <f t="shared" si="12"/>
        <v>0.64945800665473918</v>
      </c>
      <c r="H85" s="5">
        <f t="shared" si="13"/>
        <v>0.97418700998210883</v>
      </c>
      <c r="I85" s="5">
        <f t="shared" si="14"/>
        <v>1.2989160133094784</v>
      </c>
      <c r="J85" s="5">
        <f t="shared" si="15"/>
        <v>1.6236450166368479</v>
      </c>
    </row>
    <row r="86" spans="2:10" x14ac:dyDescent="0.15">
      <c r="B86" s="2">
        <v>84</v>
      </c>
      <c r="C86" s="2">
        <f t="shared" si="8"/>
        <v>85</v>
      </c>
      <c r="D86" s="3">
        <f t="shared" si="9"/>
        <v>9.2195444572928871</v>
      </c>
      <c r="E86" s="3">
        <f t="shared" si="10"/>
        <v>9.2195444572928871</v>
      </c>
      <c r="F86" s="5">
        <f t="shared" si="11"/>
        <v>0.32284356369482359</v>
      </c>
      <c r="G86" s="5">
        <f t="shared" si="12"/>
        <v>0.64568712738964718</v>
      </c>
      <c r="H86" s="5">
        <f t="shared" si="13"/>
        <v>0.96853069108447076</v>
      </c>
      <c r="I86" s="5">
        <f t="shared" si="14"/>
        <v>1.2913742547792944</v>
      </c>
      <c r="J86" s="5">
        <f t="shared" si="15"/>
        <v>1.6142178184741178</v>
      </c>
    </row>
    <row r="87" spans="2:10" x14ac:dyDescent="0.15">
      <c r="B87" s="2">
        <v>85</v>
      </c>
      <c r="C87" s="2">
        <f t="shared" si="8"/>
        <v>86</v>
      </c>
      <c r="D87" s="3">
        <f t="shared" si="9"/>
        <v>9.2736184954957039</v>
      </c>
      <c r="E87" s="3">
        <f t="shared" si="10"/>
        <v>9.2736184954957039</v>
      </c>
      <c r="F87" s="5">
        <f t="shared" si="11"/>
        <v>0.32099058069860736</v>
      </c>
      <c r="G87" s="5">
        <f t="shared" si="12"/>
        <v>0.64198116139721473</v>
      </c>
      <c r="H87" s="5">
        <f t="shared" si="13"/>
        <v>0.96297174209582215</v>
      </c>
      <c r="I87" s="5">
        <f t="shared" si="14"/>
        <v>1.2839623227944295</v>
      </c>
      <c r="J87" s="5">
        <f t="shared" si="15"/>
        <v>1.6049529034930368</v>
      </c>
    </row>
    <row r="88" spans="2:10" x14ac:dyDescent="0.15">
      <c r="B88" s="2">
        <v>86</v>
      </c>
      <c r="C88" s="2">
        <f t="shared" si="8"/>
        <v>87</v>
      </c>
      <c r="D88" s="3">
        <f t="shared" si="9"/>
        <v>9.3273790530888157</v>
      </c>
      <c r="E88" s="3">
        <f t="shared" si="10"/>
        <v>9.3273790530888157</v>
      </c>
      <c r="F88" s="5">
        <f t="shared" si="11"/>
        <v>0.31916913393446988</v>
      </c>
      <c r="G88" s="5">
        <f t="shared" si="12"/>
        <v>0.63833826786893977</v>
      </c>
      <c r="H88" s="5">
        <f t="shared" si="13"/>
        <v>0.95750740180340965</v>
      </c>
      <c r="I88" s="5">
        <f t="shared" si="14"/>
        <v>1.2766765357378795</v>
      </c>
      <c r="J88" s="5">
        <f t="shared" si="15"/>
        <v>1.5958456696723493</v>
      </c>
    </row>
    <row r="89" spans="2:10" x14ac:dyDescent="0.15">
      <c r="B89" s="2">
        <v>87</v>
      </c>
      <c r="C89" s="2">
        <f t="shared" si="8"/>
        <v>88</v>
      </c>
      <c r="D89" s="3">
        <f t="shared" si="9"/>
        <v>9.3808315196468595</v>
      </c>
      <c r="E89" s="3">
        <f t="shared" si="10"/>
        <v>9.3808315196468595</v>
      </c>
      <c r="F89" s="5">
        <f t="shared" si="11"/>
        <v>0.31737833912028368</v>
      </c>
      <c r="G89" s="5">
        <f t="shared" si="12"/>
        <v>0.63475667824056736</v>
      </c>
      <c r="H89" s="5">
        <f t="shared" si="13"/>
        <v>0.95213501736085104</v>
      </c>
      <c r="I89" s="5">
        <f t="shared" si="14"/>
        <v>1.2695133564811347</v>
      </c>
      <c r="J89" s="5">
        <f t="shared" si="15"/>
        <v>1.5868916956014183</v>
      </c>
    </row>
    <row r="90" spans="2:10" x14ac:dyDescent="0.15">
      <c r="B90" s="2">
        <v>88</v>
      </c>
      <c r="C90" s="2">
        <f t="shared" si="8"/>
        <v>89</v>
      </c>
      <c r="D90" s="3">
        <f t="shared" si="9"/>
        <v>9.4339811320566032</v>
      </c>
      <c r="E90" s="3">
        <f t="shared" si="10"/>
        <v>9.4339811320566032</v>
      </c>
      <c r="F90" s="5">
        <f t="shared" si="11"/>
        <v>0.3156173462940286</v>
      </c>
      <c r="G90" s="5">
        <f t="shared" si="12"/>
        <v>0.6312346925880572</v>
      </c>
      <c r="H90" s="5">
        <f t="shared" si="13"/>
        <v>0.9468520388820858</v>
      </c>
      <c r="I90" s="5">
        <f t="shared" si="14"/>
        <v>1.2624693851761144</v>
      </c>
      <c r="J90" s="5">
        <f t="shared" si="15"/>
        <v>1.578086731470143</v>
      </c>
    </row>
    <row r="91" spans="2:10" x14ac:dyDescent="0.15">
      <c r="B91" s="2">
        <v>89</v>
      </c>
      <c r="C91" s="2">
        <f t="shared" si="8"/>
        <v>90</v>
      </c>
      <c r="D91" s="3">
        <f t="shared" si="9"/>
        <v>9.4868329805051381</v>
      </c>
      <c r="E91" s="3">
        <f t="shared" si="10"/>
        <v>9.4868329805051381</v>
      </c>
      <c r="F91" s="5">
        <f t="shared" si="11"/>
        <v>0.31388533812041691</v>
      </c>
      <c r="G91" s="5">
        <f t="shared" si="12"/>
        <v>0.62777067624083382</v>
      </c>
      <c r="H91" s="5">
        <f t="shared" si="13"/>
        <v>0.94165601436125068</v>
      </c>
      <c r="I91" s="5">
        <f t="shared" si="14"/>
        <v>1.2555413524816676</v>
      </c>
      <c r="J91" s="5">
        <f t="shared" si="15"/>
        <v>1.5694266906020846</v>
      </c>
    </row>
    <row r="92" spans="2:10" x14ac:dyDescent="0.15">
      <c r="B92" s="2">
        <v>90</v>
      </c>
      <c r="C92" s="2">
        <f t="shared" si="8"/>
        <v>91</v>
      </c>
      <c r="D92" s="3">
        <f t="shared" si="9"/>
        <v>9.5393920141694561</v>
      </c>
      <c r="E92" s="3">
        <f t="shared" si="10"/>
        <v>9.5393920141694561</v>
      </c>
      <c r="F92" s="5">
        <f t="shared" si="11"/>
        <v>0.31218152829850537</v>
      </c>
      <c r="G92" s="5">
        <f t="shared" si="12"/>
        <v>0.62436305659701075</v>
      </c>
      <c r="H92" s="5">
        <f t="shared" si="13"/>
        <v>0.93654458489551606</v>
      </c>
      <c r="I92" s="5">
        <f t="shared" si="14"/>
        <v>1.2487261131940215</v>
      </c>
      <c r="J92" s="5">
        <f t="shared" si="15"/>
        <v>1.5609076414925269</v>
      </c>
    </row>
    <row r="93" spans="2:10" x14ac:dyDescent="0.15">
      <c r="B93" s="2">
        <v>91</v>
      </c>
      <c r="C93" s="2">
        <f t="shared" si="8"/>
        <v>92</v>
      </c>
      <c r="D93" s="3">
        <f t="shared" si="9"/>
        <v>9.5916630466254382</v>
      </c>
      <c r="E93" s="3">
        <f t="shared" si="10"/>
        <v>9.5916630466254382</v>
      </c>
      <c r="F93" s="5">
        <f t="shared" si="11"/>
        <v>0.31050516006325274</v>
      </c>
      <c r="G93" s="5">
        <f t="shared" si="12"/>
        <v>0.62101032012650548</v>
      </c>
      <c r="H93" s="5">
        <f t="shared" si="13"/>
        <v>0.93151548018975827</v>
      </c>
      <c r="I93" s="5">
        <f t="shared" si="14"/>
        <v>1.242020640253011</v>
      </c>
      <c r="J93" s="5">
        <f t="shared" si="15"/>
        <v>1.5525258003162636</v>
      </c>
    </row>
    <row r="94" spans="2:10" x14ac:dyDescent="0.15">
      <c r="B94" s="2">
        <v>92</v>
      </c>
      <c r="C94" s="2">
        <f t="shared" si="8"/>
        <v>93</v>
      </c>
      <c r="D94" s="3">
        <f t="shared" si="9"/>
        <v>9.6436507609929549</v>
      </c>
      <c r="E94" s="3">
        <f t="shared" si="10"/>
        <v>9.6436507609929549</v>
      </c>
      <c r="F94" s="5">
        <f t="shared" si="11"/>
        <v>0.30885550477454604</v>
      </c>
      <c r="G94" s="5">
        <f t="shared" si="12"/>
        <v>0.61771100954909208</v>
      </c>
      <c r="H94" s="5">
        <f t="shared" si="13"/>
        <v>0.92656651432363812</v>
      </c>
      <c r="I94" s="5">
        <f t="shared" si="14"/>
        <v>1.2354220190981842</v>
      </c>
      <c r="J94" s="5">
        <f t="shared" si="15"/>
        <v>1.5442775238727302</v>
      </c>
    </row>
    <row r="95" spans="2:10" x14ac:dyDescent="0.15">
      <c r="B95" s="2">
        <v>93</v>
      </c>
      <c r="C95" s="2">
        <f t="shared" si="8"/>
        <v>94</v>
      </c>
      <c r="D95" s="3">
        <f t="shared" si="9"/>
        <v>9.6953597148326587</v>
      </c>
      <c r="E95" s="3">
        <f t="shared" si="10"/>
        <v>9.6953597148326587</v>
      </c>
      <c r="F95" s="5">
        <f t="shared" si="11"/>
        <v>0.30723186058772561</v>
      </c>
      <c r="G95" s="5">
        <f t="shared" si="12"/>
        <v>0.61446372117545123</v>
      </c>
      <c r="H95" s="5">
        <f t="shared" si="13"/>
        <v>0.9216955817631769</v>
      </c>
      <c r="I95" s="5">
        <f t="shared" si="14"/>
        <v>1.2289274423509025</v>
      </c>
      <c r="J95" s="5">
        <f t="shared" si="15"/>
        <v>1.536159302938628</v>
      </c>
    </row>
    <row r="96" spans="2:10" x14ac:dyDescent="0.15">
      <c r="B96" s="2">
        <v>94</v>
      </c>
      <c r="C96" s="2">
        <f t="shared" si="8"/>
        <v>95</v>
      </c>
      <c r="D96" s="3">
        <f t="shared" si="9"/>
        <v>9.7467943448089631</v>
      </c>
      <c r="E96" s="3">
        <f t="shared" si="10"/>
        <v>9.7467943448089631</v>
      </c>
      <c r="F96" s="5">
        <f t="shared" si="11"/>
        <v>0.30563355120010388</v>
      </c>
      <c r="G96" s="5">
        <f t="shared" si="12"/>
        <v>0.61126710240020776</v>
      </c>
      <c r="H96" s="5">
        <f t="shared" si="13"/>
        <v>0.9169006536003117</v>
      </c>
      <c r="I96" s="5">
        <f t="shared" si="14"/>
        <v>1.2225342048004155</v>
      </c>
      <c r="J96" s="5">
        <f t="shared" si="15"/>
        <v>1.5281677560005194</v>
      </c>
    </row>
    <row r="97" spans="2:10" x14ac:dyDescent="0.15">
      <c r="B97" s="2">
        <v>95</v>
      </c>
      <c r="C97" s="2">
        <f t="shared" si="8"/>
        <v>96</v>
      </c>
      <c r="D97" s="3">
        <f t="shared" si="9"/>
        <v>9.7979589711327115</v>
      </c>
      <c r="E97" s="3">
        <f t="shared" si="10"/>
        <v>9.7979589711327115</v>
      </c>
      <c r="F97" s="5">
        <f t="shared" si="11"/>
        <v>0.30405992466839804</v>
      </c>
      <c r="G97" s="5">
        <f t="shared" si="12"/>
        <v>0.60811984933679608</v>
      </c>
      <c r="H97" s="5">
        <f t="shared" si="13"/>
        <v>0.91217977400519412</v>
      </c>
      <c r="I97" s="5">
        <f t="shared" si="14"/>
        <v>1.2162396986735922</v>
      </c>
      <c r="J97" s="5">
        <f t="shared" si="15"/>
        <v>1.5202996233419901</v>
      </c>
    </row>
    <row r="98" spans="2:10" x14ac:dyDescent="0.15">
      <c r="B98" s="2">
        <v>96</v>
      </c>
      <c r="C98" s="2">
        <f t="shared" si="8"/>
        <v>97</v>
      </c>
      <c r="D98" s="3">
        <f t="shared" si="9"/>
        <v>9.8488578017961039</v>
      </c>
      <c r="E98" s="3">
        <f t="shared" si="10"/>
        <v>9.8488578017961039</v>
      </c>
      <c r="F98" s="5">
        <f t="shared" si="11"/>
        <v>0.3025103522923876</v>
      </c>
      <c r="G98" s="5">
        <f t="shared" si="12"/>
        <v>0.60502070458477519</v>
      </c>
      <c r="H98" s="5">
        <f t="shared" si="13"/>
        <v>0.90753105687716284</v>
      </c>
      <c r="I98" s="5">
        <f t="shared" si="14"/>
        <v>1.2100414091695504</v>
      </c>
      <c r="J98" s="5">
        <f t="shared" si="15"/>
        <v>1.5125517614619379</v>
      </c>
    </row>
    <row r="99" spans="2:10" x14ac:dyDescent="0.15">
      <c r="B99" s="2">
        <v>97</v>
      </c>
      <c r="C99" s="2">
        <f t="shared" si="8"/>
        <v>98</v>
      </c>
      <c r="D99" s="3">
        <f t="shared" si="9"/>
        <v>9.8994949366116654</v>
      </c>
      <c r="E99" s="3">
        <f t="shared" si="10"/>
        <v>9.8994949366116654</v>
      </c>
      <c r="F99" s="5">
        <f t="shared" si="11"/>
        <v>0.30098422756045462</v>
      </c>
      <c r="G99" s="5">
        <f t="shared" si="12"/>
        <v>0.60196845512090924</v>
      </c>
      <c r="H99" s="5">
        <f t="shared" si="13"/>
        <v>0.90295268268136386</v>
      </c>
      <c r="I99" s="5">
        <f t="shared" si="14"/>
        <v>1.2039369102418185</v>
      </c>
      <c r="J99" s="5">
        <f t="shared" si="15"/>
        <v>1.5049211378022731</v>
      </c>
    </row>
    <row r="100" spans="2:10" x14ac:dyDescent="0.15">
      <c r="B100" s="2">
        <v>98</v>
      </c>
      <c r="C100" s="2">
        <f t="shared" si="8"/>
        <v>99</v>
      </c>
      <c r="D100" s="3">
        <f t="shared" si="9"/>
        <v>9.9498743710661994</v>
      </c>
      <c r="E100" s="3">
        <f t="shared" si="10"/>
        <v>9.9498743710661994</v>
      </c>
      <c r="F100" s="5">
        <f t="shared" si="11"/>
        <v>0.29948096515299755</v>
      </c>
      <c r="G100" s="5">
        <f t="shared" si="12"/>
        <v>0.59896193030599509</v>
      </c>
      <c r="H100" s="5">
        <f t="shared" si="13"/>
        <v>0.8984428954589927</v>
      </c>
      <c r="I100" s="5">
        <f t="shared" si="14"/>
        <v>1.1979238606119902</v>
      </c>
      <c r="J100" s="5">
        <f t="shared" si="15"/>
        <v>1.4974048257649877</v>
      </c>
    </row>
    <row r="101" spans="2:10" x14ac:dyDescent="0.15">
      <c r="B101" s="2">
        <v>99</v>
      </c>
      <c r="C101" s="2">
        <f t="shared" si="8"/>
        <v>100</v>
      </c>
      <c r="D101" s="3">
        <f t="shared" si="9"/>
        <v>10</v>
      </c>
      <c r="E101" s="3">
        <f t="shared" si="10"/>
        <v>10</v>
      </c>
      <c r="F101" s="5">
        <f t="shared" si="11"/>
        <v>0.29799999999999999</v>
      </c>
      <c r="G101" s="5">
        <f t="shared" si="12"/>
        <v>0.59599999999999997</v>
      </c>
      <c r="H101" s="5">
        <f t="shared" si="13"/>
        <v>0.89399999999999991</v>
      </c>
      <c r="I101" s="5">
        <f t="shared" si="14"/>
        <v>1.1919999999999999</v>
      </c>
      <c r="J101" s="5">
        <f t="shared" si="15"/>
        <v>1.49</v>
      </c>
    </row>
    <row r="102" spans="2:10" x14ac:dyDescent="0.15">
      <c r="B102" s="2">
        <v>100</v>
      </c>
      <c r="C102" s="2">
        <f t="shared" si="8"/>
        <v>101</v>
      </c>
      <c r="D102" s="3">
        <f t="shared" si="9"/>
        <v>10.04987562112089</v>
      </c>
      <c r="E102" s="3">
        <f t="shared" si="10"/>
        <v>10.04987562112089</v>
      </c>
      <c r="F102" s="5">
        <f t="shared" si="11"/>
        <v>0.29654078638931358</v>
      </c>
      <c r="G102" s="5">
        <f t="shared" si="12"/>
        <v>0.59308157277862716</v>
      </c>
      <c r="H102" s="5">
        <f t="shared" si="13"/>
        <v>0.88962235916794075</v>
      </c>
      <c r="I102" s="5">
        <f t="shared" si="14"/>
        <v>1.1861631455572543</v>
      </c>
      <c r="J102" s="5">
        <f t="shared" si="15"/>
        <v>1.4827039319465678</v>
      </c>
    </row>
    <row r="103" spans="2:10" x14ac:dyDescent="0.15">
      <c r="B103"/>
      <c r="C103"/>
      <c r="D103"/>
      <c r="E103"/>
      <c r="F103" s="7"/>
      <c r="G103" s="7"/>
      <c r="H103" s="7"/>
      <c r="I103" s="7"/>
      <c r="J103" s="7"/>
    </row>
    <row r="104" spans="2:10" x14ac:dyDescent="0.15">
      <c r="B104"/>
      <c r="C104"/>
      <c r="D104"/>
      <c r="E104"/>
      <c r="F104" s="7"/>
      <c r="G104" s="7"/>
      <c r="H104" s="7"/>
      <c r="I104" s="7"/>
      <c r="J104" s="7"/>
    </row>
    <row r="105" spans="2:10" x14ac:dyDescent="0.15">
      <c r="B105"/>
      <c r="C105"/>
      <c r="D105"/>
      <c r="E105"/>
      <c r="F105" s="7"/>
      <c r="G105" s="7"/>
      <c r="H105" s="7"/>
      <c r="I105" s="7"/>
      <c r="J105" s="7"/>
    </row>
    <row r="106" spans="2:10" x14ac:dyDescent="0.15">
      <c r="B106"/>
      <c r="C106"/>
      <c r="D106"/>
      <c r="E106"/>
      <c r="F106" s="7"/>
      <c r="G106" s="7"/>
      <c r="H106" s="7"/>
      <c r="I106" s="7"/>
      <c r="J106" s="7"/>
    </row>
    <row r="107" spans="2:10" x14ac:dyDescent="0.15">
      <c r="B107"/>
      <c r="C107"/>
      <c r="D107"/>
      <c r="E107"/>
      <c r="F107" s="7"/>
      <c r="G107" s="7"/>
      <c r="H107" s="7"/>
      <c r="I107" s="7"/>
      <c r="J107" s="7"/>
    </row>
    <row r="108" spans="2:10" x14ac:dyDescent="0.15">
      <c r="B108"/>
      <c r="C108"/>
      <c r="D108"/>
      <c r="E108"/>
      <c r="F108" s="7"/>
      <c r="G108" s="7"/>
      <c r="H108" s="7"/>
      <c r="I108" s="7"/>
      <c r="J108" s="7"/>
    </row>
    <row r="109" spans="2:10" x14ac:dyDescent="0.15">
      <c r="B109"/>
      <c r="C109"/>
      <c r="D109"/>
      <c r="E109"/>
      <c r="F109" s="7"/>
      <c r="G109" s="7"/>
      <c r="H109" s="7"/>
      <c r="I109" s="7"/>
      <c r="J109" s="7"/>
    </row>
    <row r="110" spans="2:10" x14ac:dyDescent="0.15">
      <c r="B110"/>
      <c r="C110"/>
      <c r="D110"/>
      <c r="E110"/>
      <c r="F110" s="7"/>
      <c r="G110" s="7"/>
      <c r="H110" s="7"/>
      <c r="I110" s="7"/>
      <c r="J110" s="7"/>
    </row>
    <row r="111" spans="2:10" x14ac:dyDescent="0.15">
      <c r="B111"/>
      <c r="C111"/>
      <c r="D111"/>
      <c r="E111"/>
      <c r="F111" s="7"/>
      <c r="G111" s="7"/>
      <c r="H111" s="7"/>
      <c r="I111" s="7"/>
      <c r="J111" s="7"/>
    </row>
    <row r="112" spans="2:10" x14ac:dyDescent="0.15">
      <c r="B112"/>
      <c r="C112"/>
      <c r="D112"/>
      <c r="E112"/>
      <c r="F112" s="7"/>
      <c r="G112" s="7"/>
      <c r="H112" s="7"/>
      <c r="I112" s="7"/>
      <c r="J112" s="7"/>
    </row>
    <row r="113" spans="2:10" x14ac:dyDescent="0.15">
      <c r="B113"/>
      <c r="C113"/>
      <c r="D113"/>
      <c r="E113"/>
      <c r="F113" s="7"/>
      <c r="G113" s="7"/>
      <c r="H113" s="7"/>
      <c r="I113" s="7"/>
      <c r="J113" s="7"/>
    </row>
    <row r="114" spans="2:10" x14ac:dyDescent="0.15">
      <c r="B114"/>
      <c r="C114"/>
      <c r="D114"/>
      <c r="E114"/>
      <c r="F114" s="7"/>
      <c r="G114" s="7"/>
      <c r="H114" s="7"/>
      <c r="I114" s="7"/>
      <c r="J114" s="7"/>
    </row>
    <row r="115" spans="2:10" x14ac:dyDescent="0.15">
      <c r="B115"/>
      <c r="C115"/>
      <c r="D115"/>
      <c r="E115"/>
      <c r="F115" s="7"/>
      <c r="G115" s="7"/>
      <c r="H115" s="7"/>
      <c r="I115" s="7"/>
      <c r="J115" s="7"/>
    </row>
    <row r="116" spans="2:10" x14ac:dyDescent="0.15">
      <c r="B116"/>
      <c r="C116"/>
      <c r="D116"/>
      <c r="E116"/>
      <c r="F116" s="7"/>
      <c r="G116" s="7"/>
      <c r="H116" s="7"/>
      <c r="I116" s="7"/>
      <c r="J116" s="7"/>
    </row>
    <row r="117" spans="2:10" x14ac:dyDescent="0.15">
      <c r="B117"/>
      <c r="C117"/>
      <c r="D117"/>
      <c r="E117"/>
      <c r="F117" s="7"/>
      <c r="G117" s="7"/>
      <c r="H117" s="7"/>
      <c r="I117" s="7"/>
      <c r="J117" s="7"/>
    </row>
    <row r="118" spans="2:10" x14ac:dyDescent="0.15">
      <c r="B118"/>
      <c r="C118"/>
      <c r="D118"/>
      <c r="E118"/>
      <c r="F118" s="7"/>
      <c r="G118" s="7"/>
      <c r="H118" s="7"/>
      <c r="I118" s="7"/>
      <c r="J118" s="7"/>
    </row>
    <row r="119" spans="2:10" x14ac:dyDescent="0.15">
      <c r="B119"/>
      <c r="C119"/>
      <c r="D119"/>
      <c r="E119"/>
      <c r="F119" s="7"/>
      <c r="G119" s="7"/>
      <c r="H119" s="7"/>
      <c r="I119" s="7"/>
      <c r="J119" s="7"/>
    </row>
    <row r="120" spans="2:10" x14ac:dyDescent="0.15">
      <c r="B120"/>
      <c r="C120"/>
      <c r="D120"/>
      <c r="E120"/>
      <c r="F120" s="7"/>
      <c r="G120" s="7"/>
      <c r="H120" s="7"/>
      <c r="I120" s="7"/>
      <c r="J120" s="7"/>
    </row>
    <row r="121" spans="2:10" x14ac:dyDescent="0.15">
      <c r="B121"/>
      <c r="C121"/>
      <c r="D121"/>
      <c r="E121"/>
      <c r="F121" s="7"/>
      <c r="G121" s="7"/>
      <c r="H121" s="7"/>
      <c r="I121" s="7"/>
      <c r="J121" s="7"/>
    </row>
    <row r="122" spans="2:10" x14ac:dyDescent="0.15">
      <c r="B122"/>
      <c r="C122"/>
      <c r="D122"/>
      <c r="E122"/>
      <c r="F122" s="7"/>
      <c r="G122" s="7"/>
      <c r="H122" s="7"/>
      <c r="I122" s="7"/>
      <c r="J122" s="7"/>
    </row>
    <row r="123" spans="2:10" x14ac:dyDescent="0.15">
      <c r="B123"/>
      <c r="C123"/>
      <c r="D123"/>
      <c r="E123"/>
      <c r="F123" s="7"/>
      <c r="G123" s="7"/>
      <c r="H123" s="7"/>
      <c r="I123" s="7"/>
      <c r="J123" s="7"/>
    </row>
    <row r="124" spans="2:10" x14ac:dyDescent="0.15">
      <c r="B124"/>
      <c r="C124"/>
      <c r="D124"/>
      <c r="E124"/>
      <c r="F124" s="7"/>
      <c r="G124" s="7"/>
      <c r="H124" s="7"/>
      <c r="I124" s="7"/>
      <c r="J124" s="7"/>
    </row>
    <row r="125" spans="2:10" x14ac:dyDescent="0.15">
      <c r="B125"/>
      <c r="C125"/>
      <c r="D125"/>
      <c r="E125"/>
      <c r="F125" s="7"/>
      <c r="G125" s="7"/>
      <c r="H125" s="7"/>
      <c r="I125" s="7"/>
      <c r="J125" s="7"/>
    </row>
    <row r="126" spans="2:10" x14ac:dyDescent="0.15">
      <c r="B126"/>
      <c r="C126"/>
      <c r="D126"/>
      <c r="E126"/>
      <c r="F126" s="7"/>
      <c r="G126" s="7"/>
      <c r="H126" s="7"/>
      <c r="I126" s="7"/>
      <c r="J126" s="7"/>
    </row>
    <row r="127" spans="2:10" x14ac:dyDescent="0.15">
      <c r="B127"/>
      <c r="C127"/>
      <c r="D127"/>
      <c r="E127"/>
      <c r="F127" s="7"/>
      <c r="G127" s="7"/>
      <c r="H127" s="7"/>
      <c r="I127" s="7"/>
      <c r="J127" s="7"/>
    </row>
    <row r="128" spans="2:10" x14ac:dyDescent="0.15">
      <c r="B128"/>
      <c r="C128"/>
      <c r="D128"/>
      <c r="E128"/>
      <c r="F128" s="7"/>
      <c r="G128" s="7"/>
      <c r="H128" s="7"/>
      <c r="I128" s="7"/>
      <c r="J128" s="7"/>
    </row>
    <row r="129" spans="2:10" x14ac:dyDescent="0.15">
      <c r="B129"/>
      <c r="C129"/>
      <c r="D129"/>
      <c r="E129"/>
      <c r="F129" s="7"/>
      <c r="G129" s="7"/>
      <c r="H129" s="7"/>
      <c r="I129" s="7"/>
      <c r="J129" s="7"/>
    </row>
    <row r="130" spans="2:10" x14ac:dyDescent="0.15">
      <c r="B130"/>
      <c r="C130"/>
      <c r="D130"/>
      <c r="E130"/>
      <c r="F130" s="7"/>
      <c r="G130" s="7"/>
      <c r="H130" s="7"/>
      <c r="I130" s="7"/>
      <c r="J130" s="7"/>
    </row>
    <row r="131" spans="2:10" x14ac:dyDescent="0.15">
      <c r="B131"/>
      <c r="C131"/>
      <c r="D131"/>
      <c r="E131"/>
      <c r="F131" s="7"/>
      <c r="G131" s="7"/>
      <c r="H131" s="7"/>
      <c r="I131" s="7"/>
      <c r="J131" s="7"/>
    </row>
    <row r="132" spans="2:10" x14ac:dyDescent="0.15">
      <c r="B132"/>
      <c r="C132"/>
      <c r="D132"/>
      <c r="E132"/>
      <c r="F132" s="7"/>
      <c r="G132" s="7"/>
      <c r="H132" s="7"/>
      <c r="I132" s="7"/>
      <c r="J132" s="7"/>
    </row>
    <row r="133" spans="2:10" x14ac:dyDescent="0.15">
      <c r="B133"/>
      <c r="C133"/>
      <c r="D133"/>
      <c r="E133"/>
      <c r="F133" s="7"/>
      <c r="G133" s="7"/>
      <c r="H133" s="7"/>
      <c r="I133" s="7"/>
      <c r="J133" s="7"/>
    </row>
    <row r="134" spans="2:10" x14ac:dyDescent="0.15">
      <c r="B134"/>
      <c r="C134"/>
      <c r="D134"/>
      <c r="E134"/>
      <c r="F134" s="7"/>
      <c r="G134" s="7"/>
      <c r="H134" s="7"/>
      <c r="I134" s="7"/>
      <c r="J134" s="7"/>
    </row>
    <row r="135" spans="2:10" x14ac:dyDescent="0.15">
      <c r="B135"/>
      <c r="C135"/>
      <c r="D135"/>
      <c r="E135"/>
      <c r="F135" s="7"/>
      <c r="G135" s="7"/>
      <c r="H135" s="7"/>
      <c r="I135" s="7"/>
      <c r="J135" s="7"/>
    </row>
    <row r="136" spans="2:10" x14ac:dyDescent="0.15">
      <c r="B136"/>
      <c r="C136"/>
      <c r="D136"/>
      <c r="E136"/>
      <c r="F136" s="7"/>
      <c r="G136" s="7"/>
      <c r="H136" s="7"/>
      <c r="I136" s="7"/>
      <c r="J136" s="7"/>
    </row>
    <row r="137" spans="2:10" x14ac:dyDescent="0.15">
      <c r="B137"/>
      <c r="C137"/>
      <c r="D137"/>
      <c r="E137"/>
      <c r="F137" s="7"/>
      <c r="G137" s="7"/>
      <c r="H137" s="7"/>
      <c r="I137" s="7"/>
      <c r="J137" s="7"/>
    </row>
    <row r="138" spans="2:10" x14ac:dyDescent="0.15">
      <c r="B138"/>
      <c r="C138"/>
      <c r="D138"/>
      <c r="E138"/>
      <c r="F138" s="7"/>
      <c r="G138" s="7"/>
      <c r="H138" s="7"/>
      <c r="I138" s="7"/>
      <c r="J138" s="7"/>
    </row>
    <row r="139" spans="2:10" x14ac:dyDescent="0.15">
      <c r="B139"/>
      <c r="C139"/>
      <c r="D139"/>
      <c r="E139"/>
      <c r="F139" s="7"/>
      <c r="G139" s="7"/>
      <c r="H139" s="7"/>
      <c r="I139" s="7"/>
      <c r="J139" s="7"/>
    </row>
    <row r="140" spans="2:10" x14ac:dyDescent="0.15">
      <c r="B140"/>
      <c r="C140"/>
      <c r="D140"/>
      <c r="E140"/>
      <c r="F140" s="7"/>
      <c r="G140" s="7"/>
      <c r="H140" s="7"/>
      <c r="I140" s="7"/>
      <c r="J140" s="7"/>
    </row>
    <row r="141" spans="2:10" x14ac:dyDescent="0.15">
      <c r="B141"/>
      <c r="C141"/>
      <c r="D141"/>
      <c r="E141"/>
      <c r="F141" s="7"/>
      <c r="G141" s="7"/>
      <c r="H141" s="7"/>
      <c r="I141" s="7"/>
      <c r="J141" s="7"/>
    </row>
    <row r="142" spans="2:10" x14ac:dyDescent="0.15">
      <c r="B142"/>
      <c r="C142"/>
      <c r="D142"/>
      <c r="E142"/>
      <c r="F142" s="7"/>
      <c r="G142" s="7"/>
      <c r="H142" s="7"/>
      <c r="I142" s="7"/>
      <c r="J142" s="7"/>
    </row>
    <row r="143" spans="2:10" x14ac:dyDescent="0.15">
      <c r="B143"/>
      <c r="C143"/>
      <c r="D143"/>
      <c r="E143"/>
      <c r="F143" s="7"/>
      <c r="G143" s="7"/>
      <c r="H143" s="7"/>
      <c r="I143" s="7"/>
      <c r="J143" s="7"/>
    </row>
    <row r="144" spans="2:10" x14ac:dyDescent="0.15">
      <c r="B144"/>
      <c r="C144"/>
      <c r="D144"/>
      <c r="E144"/>
      <c r="F144" s="7"/>
      <c r="G144" s="7"/>
      <c r="H144" s="7"/>
      <c r="I144" s="7"/>
      <c r="J144" s="7"/>
    </row>
    <row r="145" spans="2:10" x14ac:dyDescent="0.15">
      <c r="B145"/>
      <c r="C145"/>
      <c r="D145"/>
      <c r="E145"/>
      <c r="F145" s="7"/>
      <c r="G145" s="7"/>
      <c r="H145" s="7"/>
      <c r="I145" s="7"/>
      <c r="J145" s="7"/>
    </row>
    <row r="146" spans="2:10" x14ac:dyDescent="0.15">
      <c r="B146"/>
      <c r="C146"/>
      <c r="D146"/>
      <c r="E146"/>
      <c r="F146" s="7"/>
      <c r="G146" s="7"/>
      <c r="H146" s="7"/>
      <c r="I146" s="7"/>
      <c r="J146" s="7"/>
    </row>
    <row r="147" spans="2:10" x14ac:dyDescent="0.15">
      <c r="B147"/>
      <c r="C147"/>
      <c r="D147"/>
      <c r="E147"/>
      <c r="F147" s="7"/>
      <c r="G147" s="7"/>
      <c r="H147" s="7"/>
      <c r="I147" s="7"/>
      <c r="J147" s="7"/>
    </row>
    <row r="148" spans="2:10" x14ac:dyDescent="0.15">
      <c r="B148"/>
      <c r="C148"/>
      <c r="D148"/>
      <c r="E148"/>
      <c r="F148" s="7"/>
      <c r="G148" s="7"/>
      <c r="H148" s="7"/>
      <c r="I148" s="7"/>
      <c r="J148" s="7"/>
    </row>
    <row r="149" spans="2:10" x14ac:dyDescent="0.15">
      <c r="B149"/>
      <c r="C149"/>
      <c r="D149"/>
      <c r="E149"/>
      <c r="F149" s="7"/>
      <c r="G149" s="7"/>
      <c r="H149" s="7"/>
      <c r="I149" s="7"/>
      <c r="J149" s="7"/>
    </row>
    <row r="150" spans="2:10" x14ac:dyDescent="0.15">
      <c r="B150"/>
      <c r="C150"/>
      <c r="D150"/>
      <c r="E150"/>
      <c r="F150" s="7"/>
      <c r="G150" s="7"/>
      <c r="H150" s="7"/>
      <c r="I150" s="7"/>
      <c r="J150" s="7"/>
    </row>
    <row r="151" spans="2:10" x14ac:dyDescent="0.15">
      <c r="B151"/>
      <c r="C151"/>
      <c r="D151"/>
      <c r="E151"/>
      <c r="F151" s="7"/>
      <c r="G151" s="7"/>
      <c r="H151" s="7"/>
      <c r="I151" s="7"/>
      <c r="J151" s="7"/>
    </row>
    <row r="152" spans="2:10" x14ac:dyDescent="0.15">
      <c r="B152"/>
      <c r="C152"/>
      <c r="D152"/>
      <c r="E152"/>
      <c r="F152" s="7"/>
      <c r="G152" s="7"/>
      <c r="H152" s="7"/>
      <c r="I152" s="7"/>
      <c r="J152" s="7"/>
    </row>
    <row r="153" spans="2:10" x14ac:dyDescent="0.15">
      <c r="B153"/>
      <c r="C153"/>
      <c r="D153"/>
      <c r="E153"/>
      <c r="F153" s="7"/>
      <c r="G153" s="7"/>
      <c r="H153" s="7"/>
      <c r="I153" s="7"/>
      <c r="J153" s="7"/>
    </row>
    <row r="154" spans="2:10" x14ac:dyDescent="0.15">
      <c r="B154"/>
      <c r="C154"/>
      <c r="D154"/>
      <c r="E154"/>
      <c r="F154" s="7"/>
      <c r="G154" s="7"/>
      <c r="H154" s="7"/>
      <c r="I154" s="7"/>
      <c r="J154" s="7"/>
    </row>
    <row r="155" spans="2:10" x14ac:dyDescent="0.15">
      <c r="B155"/>
      <c r="C155"/>
      <c r="D155"/>
      <c r="E155"/>
      <c r="F155" s="7"/>
      <c r="G155" s="7"/>
      <c r="H155" s="7"/>
      <c r="I155" s="7"/>
      <c r="J155" s="7"/>
    </row>
    <row r="156" spans="2:10" x14ac:dyDescent="0.15">
      <c r="B156"/>
      <c r="C156"/>
      <c r="D156"/>
      <c r="E156"/>
      <c r="F156" s="7"/>
      <c r="G156" s="7"/>
      <c r="H156" s="7"/>
      <c r="I156" s="7"/>
      <c r="J156" s="7"/>
    </row>
    <row r="157" spans="2:10" x14ac:dyDescent="0.15">
      <c r="B157"/>
      <c r="C157"/>
      <c r="D157"/>
      <c r="E157"/>
      <c r="F157" s="7"/>
      <c r="G157" s="7"/>
      <c r="H157" s="7"/>
      <c r="I157" s="7"/>
      <c r="J157" s="7"/>
    </row>
    <row r="158" spans="2:10" x14ac:dyDescent="0.15">
      <c r="B158"/>
      <c r="C158"/>
      <c r="D158"/>
      <c r="E158"/>
      <c r="F158" s="7"/>
      <c r="G158" s="7"/>
      <c r="H158" s="7"/>
      <c r="I158" s="7"/>
      <c r="J158" s="7"/>
    </row>
    <row r="159" spans="2:10" x14ac:dyDescent="0.15">
      <c r="B159"/>
      <c r="C159"/>
      <c r="D159"/>
      <c r="E159"/>
      <c r="F159" s="7"/>
      <c r="G159" s="7"/>
      <c r="H159" s="7"/>
      <c r="I159" s="7"/>
      <c r="J159" s="7"/>
    </row>
    <row r="160" spans="2:10" x14ac:dyDescent="0.15">
      <c r="B160"/>
      <c r="C160"/>
      <c r="D160"/>
      <c r="E160"/>
      <c r="F160" s="7"/>
      <c r="G160" s="7"/>
      <c r="H160" s="7"/>
      <c r="I160" s="7"/>
      <c r="J160" s="7"/>
    </row>
    <row r="161" spans="2:10" x14ac:dyDescent="0.15">
      <c r="B161"/>
      <c r="C161"/>
      <c r="D161"/>
      <c r="E161"/>
      <c r="F161" s="7"/>
      <c r="G161" s="7"/>
      <c r="H161" s="7"/>
      <c r="I161" s="7"/>
      <c r="J161" s="7"/>
    </row>
    <row r="162" spans="2:10" x14ac:dyDescent="0.15">
      <c r="B162"/>
      <c r="C162"/>
      <c r="D162"/>
      <c r="E162"/>
      <c r="F162" s="7"/>
      <c r="G162" s="7"/>
      <c r="H162" s="7"/>
      <c r="I162" s="7"/>
      <c r="J162" s="7"/>
    </row>
    <row r="163" spans="2:10" x14ac:dyDescent="0.15">
      <c r="B163"/>
      <c r="C163"/>
      <c r="D163"/>
      <c r="E163"/>
      <c r="F163" s="7"/>
      <c r="G163" s="7"/>
      <c r="H163" s="7"/>
      <c r="I163" s="7"/>
      <c r="J163" s="7"/>
    </row>
    <row r="164" spans="2:10" x14ac:dyDescent="0.15">
      <c r="B164"/>
      <c r="C164"/>
      <c r="D164"/>
      <c r="E164"/>
      <c r="F164" s="7"/>
      <c r="G164" s="7"/>
      <c r="H164" s="7"/>
      <c r="I164" s="7"/>
      <c r="J164" s="7"/>
    </row>
    <row r="165" spans="2:10" x14ac:dyDescent="0.15">
      <c r="B165"/>
      <c r="C165"/>
      <c r="D165"/>
      <c r="E165"/>
      <c r="F165" s="7"/>
      <c r="G165" s="7"/>
      <c r="H165" s="7"/>
      <c r="I165" s="7"/>
      <c r="J165" s="7"/>
    </row>
    <row r="166" spans="2:10" x14ac:dyDescent="0.15">
      <c r="B166"/>
      <c r="C166"/>
      <c r="D166"/>
      <c r="E166"/>
      <c r="F166" s="7"/>
      <c r="G166" s="7"/>
      <c r="H166" s="7"/>
      <c r="I166" s="7"/>
      <c r="J166" s="7"/>
    </row>
    <row r="167" spans="2:10" x14ac:dyDescent="0.15">
      <c r="B167"/>
      <c r="C167"/>
      <c r="D167"/>
      <c r="E167"/>
      <c r="F167" s="7"/>
      <c r="G167" s="7"/>
      <c r="H167" s="7"/>
      <c r="I167" s="7"/>
      <c r="J167" s="7"/>
    </row>
    <row r="168" spans="2:10" x14ac:dyDescent="0.15">
      <c r="B168"/>
      <c r="C168"/>
      <c r="D168"/>
      <c r="E168"/>
      <c r="F168" s="7"/>
      <c r="G168" s="7"/>
      <c r="H168" s="7"/>
      <c r="I168" s="7"/>
      <c r="J168" s="7"/>
    </row>
    <row r="169" spans="2:10" x14ac:dyDescent="0.15">
      <c r="B169"/>
      <c r="C169"/>
      <c r="D169"/>
      <c r="E169"/>
      <c r="F169" s="7"/>
      <c r="G169" s="7"/>
      <c r="H169" s="7"/>
      <c r="I169" s="7"/>
      <c r="J169" s="7"/>
    </row>
    <row r="170" spans="2:10" x14ac:dyDescent="0.15">
      <c r="B170"/>
      <c r="C170"/>
      <c r="D170"/>
      <c r="E170"/>
      <c r="F170" s="7"/>
      <c r="G170" s="7"/>
      <c r="H170" s="7"/>
      <c r="I170" s="7"/>
      <c r="J170" s="7"/>
    </row>
    <row r="171" spans="2:10" x14ac:dyDescent="0.15">
      <c r="B171"/>
      <c r="C171"/>
      <c r="D171"/>
      <c r="E171"/>
      <c r="F171" s="7"/>
      <c r="G171" s="7"/>
      <c r="H171" s="7"/>
      <c r="I171" s="7"/>
      <c r="J171" s="7"/>
    </row>
    <row r="172" spans="2:10" x14ac:dyDescent="0.15">
      <c r="B172"/>
      <c r="C172"/>
      <c r="D172"/>
      <c r="E172"/>
      <c r="F172" s="7"/>
      <c r="G172" s="7"/>
      <c r="H172" s="7"/>
      <c r="I172" s="7"/>
      <c r="J172" s="7"/>
    </row>
    <row r="173" spans="2:10" x14ac:dyDescent="0.15">
      <c r="B173"/>
      <c r="C173"/>
      <c r="D173"/>
      <c r="E173"/>
      <c r="F173" s="7"/>
      <c r="G173" s="7"/>
      <c r="H173" s="7"/>
      <c r="I173" s="7"/>
      <c r="J173" s="7"/>
    </row>
    <row r="174" spans="2:10" x14ac:dyDescent="0.15">
      <c r="B174"/>
      <c r="C174"/>
      <c r="D174"/>
      <c r="E174"/>
      <c r="F174" s="7"/>
      <c r="G174" s="7"/>
      <c r="H174" s="7"/>
      <c r="I174" s="7"/>
      <c r="J174" s="7"/>
    </row>
    <row r="175" spans="2:10" x14ac:dyDescent="0.15">
      <c r="B175"/>
      <c r="C175"/>
      <c r="D175"/>
      <c r="E175"/>
      <c r="F175" s="7"/>
      <c r="G175" s="7"/>
      <c r="H175" s="7"/>
      <c r="I175" s="7"/>
      <c r="J175" s="7"/>
    </row>
    <row r="176" spans="2:10" x14ac:dyDescent="0.15">
      <c r="B176"/>
      <c r="C176"/>
      <c r="D176"/>
      <c r="E176"/>
      <c r="F176" s="7"/>
      <c r="G176" s="7"/>
      <c r="H176" s="7"/>
      <c r="I176" s="7"/>
      <c r="J176" s="7"/>
    </row>
    <row r="177" spans="2:10" x14ac:dyDescent="0.15">
      <c r="B177"/>
      <c r="C177"/>
      <c r="D177"/>
      <c r="E177"/>
      <c r="F177" s="7"/>
      <c r="G177" s="7"/>
      <c r="H177" s="7"/>
      <c r="I177" s="7"/>
      <c r="J177" s="7"/>
    </row>
    <row r="178" spans="2:10" x14ac:dyDescent="0.15">
      <c r="B178"/>
      <c r="C178"/>
      <c r="D178"/>
      <c r="E178"/>
      <c r="F178" s="7"/>
      <c r="G178" s="7"/>
      <c r="H178" s="7"/>
      <c r="I178" s="7"/>
      <c r="J178" s="7"/>
    </row>
    <row r="179" spans="2:10" x14ac:dyDescent="0.15">
      <c r="B179"/>
      <c r="C179"/>
      <c r="D179"/>
      <c r="E179"/>
      <c r="F179" s="7"/>
      <c r="G179" s="7"/>
      <c r="H179" s="7"/>
      <c r="I179" s="7"/>
      <c r="J179" s="7"/>
    </row>
    <row r="180" spans="2:10" x14ac:dyDescent="0.15">
      <c r="B180"/>
      <c r="C180"/>
      <c r="D180"/>
      <c r="E180"/>
      <c r="F180" s="7"/>
      <c r="G180" s="7"/>
      <c r="H180" s="7"/>
      <c r="I180" s="7"/>
      <c r="J180" s="7"/>
    </row>
    <row r="181" spans="2:10" x14ac:dyDescent="0.15">
      <c r="B181"/>
      <c r="C181"/>
      <c r="D181"/>
      <c r="E181"/>
      <c r="F181" s="7"/>
      <c r="G181" s="7"/>
      <c r="H181" s="7"/>
      <c r="I181" s="7"/>
      <c r="J181" s="7"/>
    </row>
    <row r="182" spans="2:10" x14ac:dyDescent="0.15">
      <c r="B182"/>
      <c r="C182"/>
      <c r="D182"/>
      <c r="E182"/>
      <c r="F182" s="7"/>
      <c r="G182" s="7"/>
      <c r="H182" s="7"/>
      <c r="I182" s="7"/>
      <c r="J182" s="7"/>
    </row>
    <row r="183" spans="2:10" x14ac:dyDescent="0.15">
      <c r="B183"/>
      <c r="C183"/>
      <c r="D183"/>
      <c r="E183"/>
      <c r="F183" s="7"/>
      <c r="G183" s="7"/>
      <c r="H183" s="7"/>
      <c r="I183" s="7"/>
      <c r="J183" s="7"/>
    </row>
    <row r="184" spans="2:10" x14ac:dyDescent="0.15">
      <c r="B184"/>
      <c r="C184"/>
      <c r="D184"/>
      <c r="E184"/>
      <c r="F184" s="7"/>
      <c r="G184" s="7"/>
      <c r="H184" s="7"/>
      <c r="I184" s="7"/>
      <c r="J184" s="7"/>
    </row>
    <row r="185" spans="2:10" x14ac:dyDescent="0.15">
      <c r="B185"/>
      <c r="C185"/>
      <c r="D185"/>
      <c r="E185"/>
      <c r="F185" s="7"/>
      <c r="G185" s="7"/>
      <c r="H185" s="7"/>
      <c r="I185" s="7"/>
      <c r="J185" s="7"/>
    </row>
    <row r="186" spans="2:10" x14ac:dyDescent="0.15">
      <c r="B186"/>
      <c r="C186"/>
      <c r="D186"/>
      <c r="E186"/>
      <c r="F186" s="7"/>
      <c r="G186" s="7"/>
      <c r="H186" s="7"/>
      <c r="I186" s="7"/>
      <c r="J186" s="7"/>
    </row>
    <row r="187" spans="2:10" x14ac:dyDescent="0.15">
      <c r="B187"/>
      <c r="C187"/>
      <c r="D187"/>
      <c r="E187"/>
      <c r="F187" s="7"/>
      <c r="G187" s="7"/>
      <c r="H187" s="7"/>
      <c r="I187" s="7"/>
      <c r="J187" s="7"/>
    </row>
    <row r="188" spans="2:10" x14ac:dyDescent="0.15">
      <c r="B188"/>
      <c r="C188"/>
      <c r="D188"/>
      <c r="E188"/>
      <c r="F188" s="7"/>
      <c r="G188" s="7"/>
      <c r="H188" s="7"/>
      <c r="I188" s="7"/>
      <c r="J188" s="7"/>
    </row>
    <row r="189" spans="2:10" x14ac:dyDescent="0.15">
      <c r="B189"/>
      <c r="C189"/>
      <c r="D189"/>
      <c r="E189"/>
      <c r="F189" s="7"/>
      <c r="G189" s="7"/>
      <c r="H189" s="7"/>
      <c r="I189" s="7"/>
      <c r="J189" s="7"/>
    </row>
    <row r="190" spans="2:10" x14ac:dyDescent="0.15">
      <c r="B190"/>
      <c r="C190"/>
      <c r="D190"/>
      <c r="E190"/>
      <c r="F190" s="7"/>
      <c r="G190" s="7"/>
      <c r="H190" s="7"/>
      <c r="I190" s="7"/>
      <c r="J190" s="7"/>
    </row>
    <row r="191" spans="2:10" x14ac:dyDescent="0.15">
      <c r="B191"/>
      <c r="C191"/>
      <c r="D191"/>
      <c r="E191"/>
      <c r="F191" s="7"/>
      <c r="G191" s="7"/>
      <c r="H191" s="7"/>
      <c r="I191" s="7"/>
      <c r="J191" s="7"/>
    </row>
    <row r="192" spans="2:10" x14ac:dyDescent="0.15">
      <c r="B192"/>
      <c r="C192"/>
      <c r="D192"/>
      <c r="E192"/>
      <c r="F192" s="7"/>
      <c r="G192" s="7"/>
      <c r="H192" s="7"/>
      <c r="I192" s="7"/>
      <c r="J192" s="7"/>
    </row>
    <row r="193" spans="2:10" x14ac:dyDescent="0.15">
      <c r="B193"/>
      <c r="C193"/>
      <c r="D193"/>
      <c r="E193"/>
      <c r="F193" s="7"/>
      <c r="G193" s="7"/>
      <c r="H193" s="7"/>
      <c r="I193" s="7"/>
      <c r="J193" s="7"/>
    </row>
    <row r="194" spans="2:10" x14ac:dyDescent="0.15">
      <c r="B194"/>
      <c r="C194"/>
      <c r="D194"/>
      <c r="E194"/>
      <c r="F194" s="7"/>
      <c r="G194" s="7"/>
      <c r="H194" s="7"/>
      <c r="I194" s="7"/>
      <c r="J194" s="7"/>
    </row>
    <row r="195" spans="2:10" x14ac:dyDescent="0.15">
      <c r="B195"/>
      <c r="C195"/>
      <c r="D195"/>
      <c r="E195"/>
      <c r="F195" s="7"/>
      <c r="G195" s="7"/>
      <c r="H195" s="7"/>
      <c r="I195" s="7"/>
      <c r="J195" s="7"/>
    </row>
    <row r="196" spans="2:10" x14ac:dyDescent="0.15">
      <c r="B196"/>
      <c r="C196"/>
      <c r="D196"/>
      <c r="E196"/>
      <c r="F196" s="7"/>
      <c r="G196" s="7"/>
      <c r="H196" s="7"/>
      <c r="I196" s="7"/>
      <c r="J196" s="7"/>
    </row>
    <row r="197" spans="2:10" x14ac:dyDescent="0.15">
      <c r="B197"/>
      <c r="C197"/>
      <c r="D197"/>
      <c r="E197"/>
      <c r="F197" s="7"/>
      <c r="G197" s="7"/>
      <c r="H197" s="7"/>
      <c r="I197" s="7"/>
      <c r="J197" s="7"/>
    </row>
    <row r="198" spans="2:10" x14ac:dyDescent="0.15">
      <c r="B198"/>
      <c r="C198"/>
      <c r="D198"/>
      <c r="E198"/>
      <c r="F198" s="7"/>
      <c r="G198" s="7"/>
      <c r="H198" s="7"/>
      <c r="I198" s="7"/>
      <c r="J198" s="7"/>
    </row>
    <row r="199" spans="2:10" x14ac:dyDescent="0.15">
      <c r="B199"/>
      <c r="C199"/>
      <c r="D199"/>
      <c r="E199"/>
      <c r="F199" s="7"/>
      <c r="G199" s="7"/>
      <c r="H199" s="7"/>
      <c r="I199" s="7"/>
      <c r="J199" s="7"/>
    </row>
    <row r="200" spans="2:10" x14ac:dyDescent="0.15">
      <c r="B200"/>
      <c r="C200"/>
      <c r="D200"/>
      <c r="E200"/>
      <c r="F200" s="7"/>
      <c r="G200" s="7"/>
      <c r="H200" s="7"/>
      <c r="I200" s="7"/>
      <c r="J200" s="7"/>
    </row>
    <row r="201" spans="2:10" x14ac:dyDescent="0.15">
      <c r="B201"/>
      <c r="C201"/>
      <c r="D201"/>
      <c r="E201"/>
      <c r="F201" s="7"/>
      <c r="G201" s="7"/>
      <c r="H201" s="7"/>
      <c r="I201" s="7"/>
      <c r="J201" s="7"/>
    </row>
    <row r="202" spans="2:10" x14ac:dyDescent="0.15">
      <c r="B202"/>
      <c r="C202"/>
      <c r="D202"/>
      <c r="E202"/>
      <c r="F202" s="7"/>
      <c r="G202" s="7"/>
      <c r="H202" s="7"/>
      <c r="I202" s="7"/>
      <c r="J202" s="7"/>
    </row>
    <row r="203" spans="2:10" x14ac:dyDescent="0.15">
      <c r="B203"/>
      <c r="C203"/>
      <c r="D203"/>
      <c r="E203"/>
      <c r="F203" s="7"/>
      <c r="G203" s="7"/>
      <c r="H203" s="7"/>
      <c r="I203" s="7"/>
      <c r="J203" s="7"/>
    </row>
    <row r="204" spans="2:10" x14ac:dyDescent="0.15">
      <c r="B204"/>
      <c r="C204"/>
      <c r="D204"/>
      <c r="E204"/>
      <c r="F204" s="7"/>
      <c r="G204" s="7"/>
      <c r="H204" s="7"/>
      <c r="I204" s="7"/>
      <c r="J204" s="7"/>
    </row>
    <row r="205" spans="2:10" x14ac:dyDescent="0.15">
      <c r="B205"/>
      <c r="C205"/>
      <c r="D205"/>
      <c r="E205"/>
      <c r="F205" s="7"/>
      <c r="G205" s="7"/>
      <c r="H205" s="7"/>
      <c r="I205" s="7"/>
      <c r="J205" s="7"/>
    </row>
    <row r="206" spans="2:10" x14ac:dyDescent="0.15">
      <c r="B206"/>
      <c r="C206"/>
      <c r="D206"/>
      <c r="E206"/>
      <c r="F206" s="7"/>
      <c r="G206" s="7"/>
      <c r="H206" s="7"/>
      <c r="I206" s="7"/>
      <c r="J206" s="7"/>
    </row>
    <row r="207" spans="2:10" x14ac:dyDescent="0.15">
      <c r="B207"/>
      <c r="C207"/>
      <c r="D207"/>
      <c r="E207"/>
      <c r="F207" s="7"/>
      <c r="G207" s="7"/>
      <c r="H207" s="7"/>
      <c r="I207" s="7"/>
      <c r="J207" s="7"/>
    </row>
    <row r="208" spans="2:10" x14ac:dyDescent="0.15">
      <c r="B208"/>
      <c r="C208"/>
      <c r="D208"/>
      <c r="E208"/>
      <c r="F208" s="7"/>
      <c r="G208" s="7"/>
      <c r="H208" s="7"/>
      <c r="I208" s="7"/>
      <c r="J208" s="7"/>
    </row>
    <row r="209" spans="2:10" x14ac:dyDescent="0.15">
      <c r="B209"/>
      <c r="C209"/>
      <c r="D209"/>
      <c r="E209"/>
      <c r="F209" s="7"/>
      <c r="G209" s="7"/>
      <c r="H209" s="7"/>
      <c r="I209" s="7"/>
      <c r="J209" s="7"/>
    </row>
    <row r="210" spans="2:10" x14ac:dyDescent="0.15">
      <c r="B210"/>
      <c r="C210"/>
      <c r="D210"/>
      <c r="E210"/>
      <c r="F210" s="7"/>
      <c r="G210" s="7"/>
      <c r="H210" s="7"/>
      <c r="I210" s="7"/>
      <c r="J210" s="7"/>
    </row>
    <row r="211" spans="2:10" x14ac:dyDescent="0.15">
      <c r="B211"/>
      <c r="C211"/>
      <c r="D211"/>
      <c r="E211"/>
      <c r="F211" s="7"/>
      <c r="G211" s="7"/>
      <c r="H211" s="7"/>
      <c r="I211" s="7"/>
      <c r="J211" s="7"/>
    </row>
    <row r="212" spans="2:10" x14ac:dyDescent="0.15">
      <c r="B212"/>
      <c r="C212"/>
      <c r="D212"/>
      <c r="E212"/>
      <c r="F212" s="7"/>
      <c r="G212" s="7"/>
      <c r="H212" s="7"/>
      <c r="I212" s="7"/>
      <c r="J212" s="7"/>
    </row>
    <row r="213" spans="2:10" x14ac:dyDescent="0.15">
      <c r="B213"/>
      <c r="C213"/>
      <c r="D213"/>
      <c r="E213"/>
      <c r="F213" s="7"/>
      <c r="G213" s="7"/>
      <c r="H213" s="7"/>
      <c r="I213" s="7"/>
      <c r="J213" s="7"/>
    </row>
    <row r="214" spans="2:10" x14ac:dyDescent="0.15">
      <c r="B214"/>
      <c r="C214"/>
      <c r="D214"/>
      <c r="E214"/>
      <c r="F214" s="7"/>
      <c r="G214" s="7"/>
      <c r="H214" s="7"/>
      <c r="I214" s="7"/>
      <c r="J214" s="7"/>
    </row>
    <row r="215" spans="2:10" x14ac:dyDescent="0.15">
      <c r="B215"/>
      <c r="C215"/>
      <c r="D215"/>
      <c r="E215"/>
      <c r="F215" s="7"/>
      <c r="G215" s="7"/>
      <c r="H215" s="7"/>
      <c r="I215" s="7"/>
      <c r="J215" s="7"/>
    </row>
    <row r="216" spans="2:10" x14ac:dyDescent="0.15">
      <c r="B216"/>
      <c r="C216"/>
      <c r="D216"/>
      <c r="E216"/>
      <c r="F216" s="7"/>
      <c r="G216" s="7"/>
      <c r="H216" s="7"/>
      <c r="I216" s="7"/>
      <c r="J216" s="7"/>
    </row>
    <row r="217" spans="2:10" x14ac:dyDescent="0.15">
      <c r="B217"/>
      <c r="C217"/>
      <c r="D217"/>
      <c r="E217"/>
      <c r="F217" s="7"/>
      <c r="G217" s="7"/>
      <c r="H217" s="7"/>
      <c r="I217" s="7"/>
      <c r="J217" s="7"/>
    </row>
    <row r="218" spans="2:10" x14ac:dyDescent="0.15">
      <c r="B218"/>
      <c r="C218"/>
      <c r="D218"/>
      <c r="E218"/>
      <c r="F218" s="7"/>
      <c r="G218" s="7"/>
      <c r="H218" s="7"/>
      <c r="I218" s="7"/>
      <c r="J218" s="7"/>
    </row>
    <row r="219" spans="2:10" x14ac:dyDescent="0.15">
      <c r="B219"/>
      <c r="C219"/>
      <c r="D219"/>
      <c r="E219"/>
      <c r="F219" s="7"/>
      <c r="G219" s="7"/>
      <c r="H219" s="7"/>
      <c r="I219" s="7"/>
      <c r="J219" s="7"/>
    </row>
    <row r="220" spans="2:10" x14ac:dyDescent="0.15">
      <c r="B220"/>
      <c r="C220"/>
      <c r="D220"/>
      <c r="E220"/>
      <c r="F220" s="7"/>
      <c r="G220" s="7"/>
      <c r="H220" s="7"/>
      <c r="I220" s="7"/>
      <c r="J220" s="7"/>
    </row>
    <row r="221" spans="2:10" x14ac:dyDescent="0.15">
      <c r="B221"/>
      <c r="C221"/>
      <c r="D221"/>
      <c r="E221"/>
      <c r="F221" s="7"/>
      <c r="G221" s="7"/>
      <c r="H221" s="7"/>
      <c r="I221" s="7"/>
      <c r="J221" s="7"/>
    </row>
    <row r="222" spans="2:10" x14ac:dyDescent="0.15">
      <c r="B222"/>
      <c r="C222"/>
      <c r="D222"/>
      <c r="E222"/>
      <c r="F222" s="7"/>
      <c r="G222" s="7"/>
      <c r="H222" s="7"/>
      <c r="I222" s="7"/>
      <c r="J222" s="7"/>
    </row>
    <row r="223" spans="2:10" x14ac:dyDescent="0.15">
      <c r="B223"/>
      <c r="C223"/>
      <c r="D223"/>
      <c r="E223"/>
      <c r="F223" s="7"/>
      <c r="G223" s="7"/>
      <c r="H223" s="7"/>
      <c r="I223" s="7"/>
      <c r="J223" s="7"/>
    </row>
    <row r="224" spans="2:10" x14ac:dyDescent="0.15">
      <c r="B224"/>
      <c r="C224"/>
      <c r="D224"/>
      <c r="E224"/>
      <c r="F224" s="7"/>
      <c r="G224" s="7"/>
      <c r="H224" s="7"/>
      <c r="I224" s="7"/>
      <c r="J224" s="7"/>
    </row>
    <row r="225" spans="2:10" x14ac:dyDescent="0.15">
      <c r="B225"/>
      <c r="C225"/>
      <c r="D225"/>
      <c r="E225"/>
      <c r="F225" s="7"/>
      <c r="G225" s="7"/>
      <c r="H225" s="7"/>
      <c r="I225" s="7"/>
      <c r="J225" s="7"/>
    </row>
    <row r="226" spans="2:10" x14ac:dyDescent="0.15">
      <c r="B226"/>
      <c r="C226"/>
      <c r="D226"/>
      <c r="E226"/>
      <c r="F226" s="7"/>
      <c r="G226" s="7"/>
      <c r="H226" s="7"/>
      <c r="I226" s="7"/>
      <c r="J226" s="7"/>
    </row>
    <row r="227" spans="2:10" x14ac:dyDescent="0.15">
      <c r="B227"/>
      <c r="C227"/>
      <c r="D227"/>
      <c r="E227"/>
      <c r="F227" s="7"/>
      <c r="G227" s="7"/>
      <c r="H227" s="7"/>
      <c r="I227" s="7"/>
      <c r="J227" s="7"/>
    </row>
    <row r="228" spans="2:10" x14ac:dyDescent="0.15">
      <c r="B228"/>
      <c r="C228"/>
      <c r="D228"/>
      <c r="E228"/>
      <c r="F228" s="7"/>
      <c r="G228" s="7"/>
      <c r="H228" s="7"/>
      <c r="I228" s="7"/>
      <c r="J228" s="7"/>
    </row>
    <row r="229" spans="2:10" x14ac:dyDescent="0.15">
      <c r="B229"/>
      <c r="C229"/>
      <c r="D229"/>
      <c r="E229"/>
      <c r="F229" s="7"/>
      <c r="G229" s="7"/>
      <c r="H229" s="7"/>
      <c r="I229" s="7"/>
      <c r="J229" s="7"/>
    </row>
    <row r="230" spans="2:10" x14ac:dyDescent="0.15">
      <c r="B230"/>
      <c r="C230"/>
      <c r="D230"/>
      <c r="E230"/>
      <c r="F230" s="7"/>
      <c r="G230" s="7"/>
      <c r="H230" s="7"/>
      <c r="I230" s="7"/>
      <c r="J230" s="7"/>
    </row>
    <row r="231" spans="2:10" x14ac:dyDescent="0.15">
      <c r="B231"/>
      <c r="C231"/>
      <c r="D231"/>
      <c r="E231"/>
      <c r="F231" s="7"/>
      <c r="G231" s="7"/>
      <c r="H231" s="7"/>
      <c r="I231" s="7"/>
      <c r="J231" s="7"/>
    </row>
    <row r="232" spans="2:10" x14ac:dyDescent="0.15">
      <c r="B232"/>
      <c r="C232"/>
      <c r="D232"/>
      <c r="E232"/>
      <c r="F232" s="7"/>
      <c r="G232" s="7"/>
      <c r="H232" s="7"/>
      <c r="I232" s="7"/>
      <c r="J232" s="7"/>
    </row>
    <row r="233" spans="2:10" x14ac:dyDescent="0.15">
      <c r="B233"/>
      <c r="C233"/>
      <c r="D233"/>
      <c r="E233"/>
      <c r="F233" s="7"/>
      <c r="G233" s="7"/>
      <c r="H233" s="7"/>
      <c r="I233" s="7"/>
      <c r="J233" s="7"/>
    </row>
    <row r="234" spans="2:10" x14ac:dyDescent="0.15">
      <c r="B234"/>
      <c r="C234"/>
      <c r="D234"/>
      <c r="E234"/>
      <c r="F234" s="7"/>
      <c r="G234" s="7"/>
      <c r="H234" s="7"/>
      <c r="I234" s="7"/>
      <c r="J234" s="7"/>
    </row>
    <row r="235" spans="2:10" x14ac:dyDescent="0.15">
      <c r="B235"/>
      <c r="C235"/>
      <c r="D235"/>
      <c r="E235"/>
      <c r="F235" s="7"/>
      <c r="G235" s="7"/>
      <c r="H235" s="7"/>
      <c r="I235" s="7"/>
      <c r="J235" s="7"/>
    </row>
    <row r="236" spans="2:10" x14ac:dyDescent="0.15">
      <c r="B236"/>
      <c r="C236"/>
      <c r="D236"/>
      <c r="E236"/>
      <c r="F236" s="7"/>
      <c r="G236" s="7"/>
      <c r="H236" s="7"/>
      <c r="I236" s="7"/>
      <c r="J236" s="7"/>
    </row>
    <row r="237" spans="2:10" x14ac:dyDescent="0.15">
      <c r="B237"/>
      <c r="C237"/>
      <c r="D237"/>
      <c r="E237"/>
      <c r="F237" s="7"/>
      <c r="G237" s="7"/>
      <c r="H237" s="7"/>
      <c r="I237" s="7"/>
      <c r="J237" s="7"/>
    </row>
    <row r="238" spans="2:10" x14ac:dyDescent="0.15">
      <c r="B238"/>
      <c r="C238"/>
      <c r="D238"/>
      <c r="E238"/>
      <c r="F238" s="7"/>
      <c r="G238" s="7"/>
      <c r="H238" s="7"/>
      <c r="I238" s="7"/>
      <c r="J238" s="7"/>
    </row>
    <row r="239" spans="2:10" x14ac:dyDescent="0.15">
      <c r="B239"/>
      <c r="C239"/>
      <c r="D239"/>
      <c r="E239"/>
      <c r="F239" s="7"/>
      <c r="G239" s="7"/>
      <c r="H239" s="7"/>
      <c r="I239" s="7"/>
      <c r="J239" s="7"/>
    </row>
    <row r="240" spans="2:10" x14ac:dyDescent="0.15">
      <c r="B240"/>
      <c r="C240"/>
      <c r="D240"/>
      <c r="E240"/>
      <c r="F240" s="7"/>
      <c r="G240" s="7"/>
      <c r="H240" s="7"/>
      <c r="I240" s="7"/>
      <c r="J240" s="7"/>
    </row>
    <row r="241" spans="2:10" x14ac:dyDescent="0.15">
      <c r="B241"/>
      <c r="C241"/>
      <c r="D241"/>
      <c r="E241"/>
      <c r="F241" s="7"/>
      <c r="G241" s="7"/>
      <c r="H241" s="7"/>
      <c r="I241" s="7"/>
      <c r="J241" s="7"/>
    </row>
    <row r="242" spans="2:10" x14ac:dyDescent="0.15">
      <c r="B242"/>
      <c r="C242"/>
      <c r="D242"/>
      <c r="E242"/>
      <c r="F242" s="7"/>
      <c r="G242" s="7"/>
      <c r="H242" s="7"/>
      <c r="I242" s="7"/>
      <c r="J242" s="7"/>
    </row>
    <row r="243" spans="2:10" x14ac:dyDescent="0.15">
      <c r="B243"/>
      <c r="C243"/>
      <c r="D243"/>
      <c r="E243"/>
      <c r="F243" s="7"/>
      <c r="G243" s="7"/>
      <c r="H243" s="7"/>
      <c r="I243" s="7"/>
      <c r="J243" s="7"/>
    </row>
    <row r="244" spans="2:10" x14ac:dyDescent="0.15">
      <c r="B244"/>
      <c r="C244"/>
      <c r="D244"/>
      <c r="E244"/>
      <c r="F244" s="7"/>
      <c r="G244" s="7"/>
      <c r="H244" s="7"/>
      <c r="I244" s="7"/>
      <c r="J244" s="7"/>
    </row>
    <row r="245" spans="2:10" x14ac:dyDescent="0.15">
      <c r="B245"/>
      <c r="C245"/>
      <c r="D245"/>
      <c r="E245"/>
      <c r="F245" s="7"/>
      <c r="G245" s="7"/>
      <c r="H245" s="7"/>
      <c r="I245" s="7"/>
      <c r="J245" s="7"/>
    </row>
    <row r="246" spans="2:10" x14ac:dyDescent="0.15">
      <c r="B246"/>
      <c r="C246"/>
      <c r="D246"/>
      <c r="E246"/>
      <c r="F246" s="7"/>
      <c r="G246" s="7"/>
      <c r="H246" s="7"/>
      <c r="I246" s="7"/>
      <c r="J246" s="7"/>
    </row>
    <row r="247" spans="2:10" x14ac:dyDescent="0.15">
      <c r="B247"/>
      <c r="C247"/>
      <c r="D247"/>
      <c r="E247"/>
      <c r="F247" s="7"/>
      <c r="G247" s="7"/>
      <c r="H247" s="7"/>
      <c r="I247" s="7"/>
      <c r="J247" s="7"/>
    </row>
    <row r="248" spans="2:10" x14ac:dyDescent="0.15">
      <c r="B248"/>
      <c r="C248"/>
      <c r="D248"/>
      <c r="E248"/>
      <c r="F248" s="7"/>
      <c r="G248" s="7"/>
      <c r="H248" s="7"/>
      <c r="I248" s="7"/>
      <c r="J248" s="7"/>
    </row>
    <row r="249" spans="2:10" x14ac:dyDescent="0.15">
      <c r="B249"/>
      <c r="C249"/>
      <c r="D249"/>
      <c r="E249"/>
      <c r="F249" s="7"/>
      <c r="G249" s="7"/>
      <c r="H249" s="7"/>
      <c r="I249" s="7"/>
      <c r="J249" s="7"/>
    </row>
    <row r="250" spans="2:10" x14ac:dyDescent="0.15">
      <c r="B250"/>
      <c r="C250"/>
      <c r="D250"/>
      <c r="E250"/>
      <c r="F250" s="7"/>
      <c r="G250" s="7"/>
      <c r="H250" s="7"/>
      <c r="I250" s="7"/>
      <c r="J250" s="7"/>
    </row>
    <row r="251" spans="2:10" x14ac:dyDescent="0.15">
      <c r="B251"/>
      <c r="C251"/>
      <c r="D251"/>
      <c r="E251"/>
      <c r="F251" s="7"/>
      <c r="G251" s="7"/>
      <c r="H251" s="7"/>
      <c r="I251" s="7"/>
      <c r="J251" s="7"/>
    </row>
    <row r="252" spans="2:10" x14ac:dyDescent="0.15">
      <c r="B252"/>
      <c r="C252"/>
      <c r="D252"/>
      <c r="E252"/>
      <c r="F252" s="7"/>
      <c r="G252" s="7"/>
      <c r="H252" s="7"/>
      <c r="I252" s="7"/>
      <c r="J252" s="7"/>
    </row>
    <row r="253" spans="2:10" x14ac:dyDescent="0.15">
      <c r="B253"/>
      <c r="C253"/>
      <c r="D253"/>
      <c r="E253"/>
      <c r="F253" s="7"/>
      <c r="G253" s="7"/>
      <c r="H253" s="7"/>
      <c r="I253" s="7"/>
      <c r="J253" s="7"/>
    </row>
    <row r="254" spans="2:10" x14ac:dyDescent="0.15">
      <c r="B254"/>
      <c r="C254"/>
      <c r="D254"/>
      <c r="E254"/>
      <c r="F254" s="7"/>
      <c r="G254" s="7"/>
      <c r="H254" s="7"/>
      <c r="I254" s="7"/>
      <c r="J254" s="7"/>
    </row>
    <row r="255" spans="2:10" x14ac:dyDescent="0.15">
      <c r="B255"/>
      <c r="C255"/>
      <c r="D255"/>
      <c r="E255"/>
      <c r="F255" s="7"/>
      <c r="G255" s="7"/>
      <c r="H255" s="7"/>
      <c r="I255" s="7"/>
      <c r="J255" s="7"/>
    </row>
    <row r="256" spans="2:10" x14ac:dyDescent="0.15">
      <c r="B256"/>
      <c r="C256"/>
      <c r="D256"/>
      <c r="E256"/>
      <c r="F256" s="7"/>
      <c r="G256" s="7"/>
      <c r="H256" s="7"/>
      <c r="I256" s="7"/>
      <c r="J256" s="7"/>
    </row>
    <row r="257" spans="2:10" x14ac:dyDescent="0.15">
      <c r="B257"/>
      <c r="C257"/>
      <c r="D257"/>
      <c r="E257"/>
      <c r="F257" s="7"/>
      <c r="G257" s="7"/>
      <c r="H257" s="7"/>
      <c r="I257" s="7"/>
      <c r="J257" s="7"/>
    </row>
    <row r="258" spans="2:10" x14ac:dyDescent="0.15">
      <c r="B258"/>
      <c r="C258"/>
      <c r="D258"/>
      <c r="E258"/>
      <c r="F258" s="7"/>
      <c r="G258" s="7"/>
      <c r="H258" s="7"/>
      <c r="I258" s="7"/>
      <c r="J258" s="7"/>
    </row>
    <row r="259" spans="2:10" x14ac:dyDescent="0.15">
      <c r="B259"/>
      <c r="C259"/>
      <c r="D259"/>
      <c r="E259"/>
      <c r="F259" s="7"/>
      <c r="G259" s="7"/>
      <c r="H259" s="7"/>
      <c r="I259" s="7"/>
      <c r="J259" s="7"/>
    </row>
    <row r="260" spans="2:10" x14ac:dyDescent="0.15">
      <c r="B260"/>
      <c r="C260"/>
      <c r="D260"/>
      <c r="E260"/>
      <c r="F260" s="7"/>
      <c r="G260" s="7"/>
      <c r="H260" s="7"/>
      <c r="I260" s="7"/>
      <c r="J260" s="7"/>
    </row>
    <row r="261" spans="2:10" x14ac:dyDescent="0.15">
      <c r="B261"/>
      <c r="C261"/>
      <c r="D261"/>
      <c r="E261"/>
      <c r="F261" s="7"/>
      <c r="G261" s="7"/>
      <c r="H261" s="7"/>
      <c r="I261" s="7"/>
      <c r="J261" s="7"/>
    </row>
    <row r="262" spans="2:10" x14ac:dyDescent="0.15">
      <c r="B262"/>
      <c r="C262"/>
      <c r="D262"/>
      <c r="E262"/>
      <c r="F262" s="7"/>
      <c r="G262" s="7"/>
      <c r="H262" s="7"/>
      <c r="I262" s="7"/>
      <c r="J262" s="7"/>
    </row>
    <row r="263" spans="2:10" x14ac:dyDescent="0.15">
      <c r="B263"/>
      <c r="C263"/>
      <c r="D263"/>
      <c r="E263"/>
      <c r="F263" s="7"/>
      <c r="G263" s="7"/>
      <c r="H263" s="7"/>
      <c r="I263" s="7"/>
      <c r="J263" s="7"/>
    </row>
    <row r="264" spans="2:10" x14ac:dyDescent="0.15">
      <c r="B264"/>
      <c r="C264"/>
      <c r="D264"/>
      <c r="E264"/>
      <c r="F264" s="7"/>
      <c r="G264" s="7"/>
      <c r="H264" s="7"/>
      <c r="I264" s="7"/>
      <c r="J264" s="7"/>
    </row>
    <row r="265" spans="2:10" x14ac:dyDescent="0.15">
      <c r="B265"/>
      <c r="C265"/>
      <c r="D265"/>
      <c r="E265"/>
      <c r="F265" s="7"/>
      <c r="G265" s="7"/>
      <c r="H265" s="7"/>
      <c r="I265" s="7"/>
      <c r="J265" s="7"/>
    </row>
    <row r="266" spans="2:10" x14ac:dyDescent="0.15">
      <c r="B266"/>
      <c r="C266"/>
      <c r="D266"/>
      <c r="E266"/>
      <c r="F266" s="7"/>
      <c r="G266" s="7"/>
      <c r="H266" s="7"/>
      <c r="I266" s="7"/>
      <c r="J266" s="7"/>
    </row>
    <row r="267" spans="2:10" x14ac:dyDescent="0.15">
      <c r="B267"/>
      <c r="C267"/>
      <c r="D267"/>
      <c r="E267"/>
      <c r="F267" s="7"/>
      <c r="G267" s="7"/>
      <c r="H267" s="7"/>
      <c r="I267" s="7"/>
      <c r="J267" s="7"/>
    </row>
    <row r="268" spans="2:10" x14ac:dyDescent="0.15">
      <c r="B268"/>
      <c r="C268"/>
      <c r="D268"/>
      <c r="E268"/>
      <c r="F268" s="7"/>
      <c r="G268" s="7"/>
      <c r="H268" s="7"/>
      <c r="I268" s="7"/>
      <c r="J268" s="7"/>
    </row>
    <row r="269" spans="2:10" x14ac:dyDescent="0.15">
      <c r="B269"/>
      <c r="C269"/>
      <c r="D269"/>
      <c r="E269"/>
      <c r="F269" s="7"/>
      <c r="G269" s="7"/>
      <c r="H269" s="7"/>
      <c r="I269" s="7"/>
      <c r="J269" s="7"/>
    </row>
    <row r="270" spans="2:10" x14ac:dyDescent="0.15">
      <c r="B270"/>
      <c r="C270"/>
      <c r="D270"/>
      <c r="E270"/>
      <c r="F270" s="7"/>
      <c r="G270" s="7"/>
      <c r="H270" s="7"/>
      <c r="I270" s="7"/>
      <c r="J270" s="7"/>
    </row>
    <row r="271" spans="2:10" x14ac:dyDescent="0.15">
      <c r="B271"/>
      <c r="C271"/>
      <c r="D271"/>
      <c r="E271"/>
      <c r="F271" s="7"/>
      <c r="G271" s="7"/>
      <c r="H271" s="7"/>
      <c r="I271" s="7"/>
      <c r="J271" s="7"/>
    </row>
    <row r="272" spans="2:10" x14ac:dyDescent="0.15">
      <c r="B272"/>
      <c r="C272"/>
      <c r="D272"/>
      <c r="E272"/>
      <c r="F272" s="7"/>
      <c r="G272" s="7"/>
      <c r="H272" s="7"/>
      <c r="I272" s="7"/>
      <c r="J272" s="7"/>
    </row>
    <row r="273" spans="2:10" x14ac:dyDescent="0.15">
      <c r="B273"/>
      <c r="C273"/>
      <c r="D273"/>
      <c r="E273"/>
      <c r="F273" s="7"/>
      <c r="G273" s="7"/>
      <c r="H273" s="7"/>
      <c r="I273" s="7"/>
      <c r="J273" s="7"/>
    </row>
    <row r="274" spans="2:10" x14ac:dyDescent="0.15">
      <c r="B274"/>
      <c r="C274"/>
      <c r="D274"/>
      <c r="E274"/>
      <c r="F274" s="7"/>
      <c r="G274" s="7"/>
      <c r="H274" s="7"/>
      <c r="I274" s="7"/>
      <c r="J274" s="7"/>
    </row>
    <row r="275" spans="2:10" x14ac:dyDescent="0.15">
      <c r="B275"/>
      <c r="C275"/>
      <c r="D275"/>
      <c r="E275"/>
      <c r="F275" s="7"/>
      <c r="G275" s="7"/>
      <c r="H275" s="7"/>
      <c r="I275" s="7"/>
      <c r="J275" s="7"/>
    </row>
    <row r="276" spans="2:10" x14ac:dyDescent="0.15">
      <c r="B276"/>
      <c r="C276"/>
      <c r="D276"/>
      <c r="E276"/>
      <c r="F276" s="7"/>
      <c r="G276" s="7"/>
      <c r="H276" s="7"/>
      <c r="I276" s="7"/>
      <c r="J276" s="7"/>
    </row>
    <row r="277" spans="2:10" x14ac:dyDescent="0.15">
      <c r="B277"/>
      <c r="C277"/>
      <c r="D277"/>
      <c r="E277"/>
      <c r="F277" s="7"/>
      <c r="G277" s="7"/>
      <c r="H277" s="7"/>
      <c r="I277" s="7"/>
      <c r="J277" s="7"/>
    </row>
    <row r="278" spans="2:10" x14ac:dyDescent="0.15">
      <c r="B278"/>
      <c r="C278"/>
      <c r="D278"/>
      <c r="E278"/>
      <c r="F278" s="7"/>
      <c r="G278" s="7"/>
      <c r="H278" s="7"/>
      <c r="I278" s="7"/>
      <c r="J278" s="7"/>
    </row>
    <row r="279" spans="2:10" x14ac:dyDescent="0.15">
      <c r="B279"/>
      <c r="C279"/>
      <c r="D279"/>
      <c r="E279"/>
      <c r="F279" s="7"/>
      <c r="G279" s="7"/>
      <c r="H279" s="7"/>
      <c r="I279" s="7"/>
      <c r="J279" s="7"/>
    </row>
    <row r="280" spans="2:10" x14ac:dyDescent="0.15">
      <c r="B280"/>
      <c r="C280"/>
      <c r="D280"/>
      <c r="E280"/>
      <c r="F280" s="7"/>
      <c r="G280" s="7"/>
      <c r="H280" s="7"/>
      <c r="I280" s="7"/>
      <c r="J280" s="7"/>
    </row>
    <row r="281" spans="2:10" x14ac:dyDescent="0.15">
      <c r="B281"/>
      <c r="C281"/>
      <c r="D281"/>
      <c r="E281"/>
      <c r="F281" s="7"/>
      <c r="G281" s="7"/>
      <c r="H281" s="7"/>
      <c r="I281" s="7"/>
      <c r="J281" s="7"/>
    </row>
    <row r="282" spans="2:10" x14ac:dyDescent="0.15">
      <c r="B282"/>
      <c r="C282"/>
      <c r="D282"/>
      <c r="E282"/>
      <c r="F282" s="7"/>
      <c r="G282" s="7"/>
      <c r="H282" s="7"/>
      <c r="I282" s="7"/>
      <c r="J282" s="7"/>
    </row>
    <row r="283" spans="2:10" x14ac:dyDescent="0.15">
      <c r="B283"/>
      <c r="C283"/>
      <c r="D283"/>
      <c r="E283"/>
      <c r="F283" s="7"/>
      <c r="G283" s="7"/>
      <c r="H283" s="7"/>
      <c r="I283" s="7"/>
      <c r="J283" s="7"/>
    </row>
    <row r="284" spans="2:10" x14ac:dyDescent="0.15">
      <c r="B284"/>
      <c r="C284"/>
      <c r="D284"/>
      <c r="E284"/>
      <c r="F284" s="7"/>
      <c r="G284" s="7"/>
      <c r="H284" s="7"/>
      <c r="I284" s="7"/>
      <c r="J284" s="7"/>
    </row>
    <row r="285" spans="2:10" x14ac:dyDescent="0.15">
      <c r="B285"/>
      <c r="C285"/>
      <c r="D285"/>
      <c r="E285"/>
      <c r="F285" s="7"/>
      <c r="G285" s="7"/>
      <c r="H285" s="7"/>
      <c r="I285" s="7"/>
      <c r="J285" s="7"/>
    </row>
    <row r="286" spans="2:10" x14ac:dyDescent="0.15">
      <c r="B286"/>
      <c r="C286"/>
      <c r="D286"/>
      <c r="E286"/>
      <c r="F286" s="7"/>
      <c r="G286" s="7"/>
      <c r="H286" s="7"/>
      <c r="I286" s="7"/>
      <c r="J286" s="7"/>
    </row>
    <row r="287" spans="2:10" x14ac:dyDescent="0.15">
      <c r="B287"/>
      <c r="C287"/>
      <c r="D287"/>
      <c r="E287"/>
      <c r="F287" s="7"/>
      <c r="G287" s="7"/>
      <c r="H287" s="7"/>
      <c r="I287" s="7"/>
      <c r="J287" s="7"/>
    </row>
    <row r="288" spans="2:10" x14ac:dyDescent="0.15">
      <c r="B288"/>
      <c r="C288"/>
      <c r="D288"/>
      <c r="E288"/>
      <c r="F288" s="7"/>
      <c r="G288" s="7"/>
      <c r="H288" s="7"/>
      <c r="I288" s="7"/>
      <c r="J288" s="7"/>
    </row>
    <row r="289" spans="2:10" x14ac:dyDescent="0.15">
      <c r="B289"/>
      <c r="C289"/>
      <c r="D289"/>
      <c r="E289"/>
      <c r="F289" s="7"/>
      <c r="G289" s="7"/>
      <c r="H289" s="7"/>
      <c r="I289" s="7"/>
      <c r="J289" s="7"/>
    </row>
    <row r="290" spans="2:10" x14ac:dyDescent="0.15">
      <c r="B290"/>
      <c r="C290"/>
      <c r="D290"/>
      <c r="E290"/>
      <c r="F290" s="7"/>
      <c r="G290" s="7"/>
      <c r="H290" s="7"/>
      <c r="I290" s="7"/>
      <c r="J290" s="7"/>
    </row>
    <row r="291" spans="2:10" x14ac:dyDescent="0.15">
      <c r="B291"/>
      <c r="C291"/>
      <c r="D291"/>
      <c r="E291"/>
      <c r="F291" s="7"/>
      <c r="G291" s="7"/>
      <c r="H291" s="7"/>
      <c r="I291" s="7"/>
      <c r="J291" s="7"/>
    </row>
    <row r="292" spans="2:10" x14ac:dyDescent="0.15">
      <c r="B292"/>
      <c r="C292"/>
      <c r="D292"/>
      <c r="E292"/>
      <c r="F292" s="7"/>
      <c r="G292" s="7"/>
      <c r="H292" s="7"/>
      <c r="I292" s="7"/>
      <c r="J292" s="7"/>
    </row>
    <row r="293" spans="2:10" x14ac:dyDescent="0.15">
      <c r="B293"/>
      <c r="C293"/>
      <c r="D293"/>
      <c r="E293"/>
      <c r="F293" s="7"/>
      <c r="G293" s="7"/>
      <c r="H293" s="7"/>
      <c r="I293" s="7"/>
      <c r="J293" s="7"/>
    </row>
    <row r="294" spans="2:10" x14ac:dyDescent="0.15">
      <c r="B294"/>
      <c r="C294"/>
      <c r="D294"/>
      <c r="E294"/>
      <c r="F294" s="7"/>
      <c r="G294" s="7"/>
      <c r="H294" s="7"/>
      <c r="I294" s="7"/>
      <c r="J294" s="7"/>
    </row>
    <row r="295" spans="2:10" x14ac:dyDescent="0.15">
      <c r="B295"/>
      <c r="C295"/>
      <c r="D295"/>
      <c r="E295"/>
      <c r="F295" s="7"/>
      <c r="G295" s="7"/>
      <c r="H295" s="7"/>
      <c r="I295" s="7"/>
      <c r="J295" s="7"/>
    </row>
    <row r="296" spans="2:10" x14ac:dyDescent="0.15">
      <c r="B296"/>
      <c r="C296"/>
      <c r="D296"/>
      <c r="E296"/>
      <c r="F296" s="7"/>
      <c r="G296" s="7"/>
      <c r="H296" s="7"/>
      <c r="I296" s="7"/>
      <c r="J296" s="7"/>
    </row>
    <row r="297" spans="2:10" x14ac:dyDescent="0.15">
      <c r="B297"/>
      <c r="C297"/>
      <c r="D297"/>
      <c r="E297"/>
      <c r="F297" s="7"/>
      <c r="G297" s="7"/>
      <c r="H297" s="7"/>
      <c r="I297" s="7"/>
      <c r="J297" s="7"/>
    </row>
    <row r="298" spans="2:10" x14ac:dyDescent="0.15">
      <c r="B298"/>
      <c r="C298"/>
      <c r="D298"/>
      <c r="E298"/>
      <c r="F298" s="7"/>
      <c r="G298" s="7"/>
      <c r="H298" s="7"/>
      <c r="I298" s="7"/>
      <c r="J298" s="7"/>
    </row>
    <row r="299" spans="2:10" x14ac:dyDescent="0.15">
      <c r="B299"/>
      <c r="C299"/>
      <c r="D299"/>
      <c r="E299"/>
      <c r="F299" s="7"/>
      <c r="G299" s="7"/>
      <c r="H299" s="7"/>
      <c r="I299" s="7"/>
      <c r="J299" s="7"/>
    </row>
    <row r="300" spans="2:10" x14ac:dyDescent="0.15">
      <c r="B300"/>
      <c r="C300"/>
      <c r="D300"/>
      <c r="E300"/>
      <c r="F300" s="7"/>
      <c r="G300" s="7"/>
      <c r="H300" s="7"/>
      <c r="I300" s="7"/>
      <c r="J300" s="7"/>
    </row>
    <row r="301" spans="2:10" x14ac:dyDescent="0.15">
      <c r="B301"/>
      <c r="C301"/>
      <c r="D301"/>
      <c r="E301"/>
      <c r="F301" s="7"/>
      <c r="G301" s="7"/>
      <c r="H301" s="7"/>
      <c r="I301" s="7"/>
      <c r="J301" s="7"/>
    </row>
    <row r="302" spans="2:10" x14ac:dyDescent="0.15">
      <c r="B302"/>
      <c r="C302"/>
      <c r="D302"/>
      <c r="E302"/>
      <c r="F302" s="7"/>
      <c r="G302" s="7"/>
      <c r="H302" s="7"/>
      <c r="I302" s="7"/>
      <c r="J302" s="7"/>
    </row>
    <row r="303" spans="2:10" x14ac:dyDescent="0.15">
      <c r="B303"/>
      <c r="C303"/>
      <c r="D303"/>
      <c r="E303"/>
      <c r="F303" s="7"/>
      <c r="G303" s="7"/>
      <c r="H303" s="7"/>
      <c r="I303" s="7"/>
      <c r="J303" s="7"/>
    </row>
    <row r="304" spans="2:10" x14ac:dyDescent="0.15">
      <c r="B304"/>
      <c r="C304"/>
      <c r="D304"/>
      <c r="E304"/>
      <c r="F304" s="7"/>
      <c r="G304" s="7"/>
      <c r="H304" s="7"/>
      <c r="I304" s="7"/>
      <c r="J304" s="7"/>
    </row>
    <row r="305" spans="2:10" x14ac:dyDescent="0.15">
      <c r="B305"/>
      <c r="C305"/>
      <c r="D305"/>
      <c r="E305"/>
      <c r="F305" s="7"/>
      <c r="G305" s="7"/>
      <c r="H305" s="7"/>
      <c r="I305" s="7"/>
      <c r="J305" s="7"/>
    </row>
    <row r="306" spans="2:10" x14ac:dyDescent="0.15">
      <c r="B306"/>
      <c r="C306"/>
      <c r="D306"/>
      <c r="E306"/>
      <c r="F306" s="7"/>
      <c r="G306" s="7"/>
      <c r="H306" s="7"/>
      <c r="I306" s="7"/>
      <c r="J306" s="7"/>
    </row>
    <row r="307" spans="2:10" x14ac:dyDescent="0.15">
      <c r="B307"/>
      <c r="C307"/>
      <c r="D307"/>
      <c r="E307"/>
      <c r="F307" s="7"/>
      <c r="G307" s="7"/>
      <c r="H307" s="7"/>
      <c r="I307" s="7"/>
      <c r="J307" s="7"/>
    </row>
    <row r="308" spans="2:10" x14ac:dyDescent="0.15">
      <c r="B308"/>
      <c r="C308"/>
      <c r="D308"/>
      <c r="E308"/>
      <c r="F308" s="7"/>
      <c r="G308" s="7"/>
      <c r="H308" s="7"/>
      <c r="I308" s="7"/>
      <c r="J308" s="7"/>
    </row>
    <row r="309" spans="2:10" x14ac:dyDescent="0.15">
      <c r="B309"/>
      <c r="C309"/>
      <c r="D309"/>
      <c r="E309"/>
      <c r="F309" s="7"/>
      <c r="G309" s="7"/>
      <c r="H309" s="7"/>
      <c r="I309" s="7"/>
      <c r="J309" s="7"/>
    </row>
    <row r="310" spans="2:10" x14ac:dyDescent="0.15">
      <c r="B310"/>
      <c r="C310"/>
      <c r="D310"/>
      <c r="E310"/>
      <c r="F310" s="7"/>
      <c r="G310" s="7"/>
      <c r="H310" s="7"/>
      <c r="I310" s="7"/>
      <c r="J310" s="7"/>
    </row>
    <row r="311" spans="2:10" x14ac:dyDescent="0.15">
      <c r="B311"/>
      <c r="C311"/>
      <c r="D311"/>
      <c r="E311"/>
      <c r="F311" s="7"/>
      <c r="G311" s="7"/>
      <c r="H311" s="7"/>
      <c r="I311" s="7"/>
      <c r="J311" s="7"/>
    </row>
    <row r="312" spans="2:10" x14ac:dyDescent="0.15">
      <c r="B312"/>
      <c r="C312"/>
      <c r="D312"/>
      <c r="E312"/>
      <c r="F312" s="7"/>
      <c r="G312" s="7"/>
      <c r="H312" s="7"/>
      <c r="I312" s="7"/>
      <c r="J312" s="7"/>
    </row>
    <row r="313" spans="2:10" x14ac:dyDescent="0.15">
      <c r="B313"/>
      <c r="C313"/>
      <c r="D313"/>
      <c r="E313"/>
      <c r="F313" s="7"/>
      <c r="G313" s="7"/>
      <c r="H313" s="7"/>
      <c r="I313" s="7"/>
      <c r="J313" s="7"/>
    </row>
    <row r="314" spans="2:10" x14ac:dyDescent="0.15">
      <c r="B314"/>
      <c r="C314"/>
      <c r="D314"/>
      <c r="E314"/>
      <c r="F314" s="7"/>
      <c r="G314" s="7"/>
      <c r="H314" s="7"/>
      <c r="I314" s="7"/>
      <c r="J314" s="7"/>
    </row>
    <row r="315" spans="2:10" x14ac:dyDescent="0.15">
      <c r="B315"/>
      <c r="C315"/>
      <c r="D315"/>
      <c r="E315"/>
      <c r="F315" s="7"/>
      <c r="G315" s="7"/>
      <c r="H315" s="7"/>
      <c r="I315" s="7"/>
      <c r="J315" s="7"/>
    </row>
    <row r="316" spans="2:10" x14ac:dyDescent="0.15">
      <c r="B316"/>
      <c r="C316"/>
      <c r="D316"/>
      <c r="E316"/>
      <c r="F316" s="7"/>
      <c r="G316" s="7"/>
      <c r="H316" s="7"/>
      <c r="I316" s="7"/>
      <c r="J316" s="7"/>
    </row>
    <row r="317" spans="2:10" x14ac:dyDescent="0.15">
      <c r="B317"/>
      <c r="C317"/>
      <c r="D317"/>
      <c r="E317"/>
      <c r="F317" s="7"/>
      <c r="G317" s="7"/>
      <c r="H317" s="7"/>
      <c r="I317" s="7"/>
      <c r="J317" s="7"/>
    </row>
    <row r="318" spans="2:10" x14ac:dyDescent="0.15">
      <c r="B318"/>
      <c r="C318"/>
      <c r="D318"/>
      <c r="E318"/>
      <c r="F318" s="7"/>
      <c r="G318" s="7"/>
      <c r="H318" s="7"/>
      <c r="I318" s="7"/>
      <c r="J318" s="7"/>
    </row>
    <row r="319" spans="2:10" x14ac:dyDescent="0.15">
      <c r="B319"/>
      <c r="C319"/>
      <c r="D319"/>
      <c r="E319"/>
      <c r="F319" s="7"/>
      <c r="G319" s="7"/>
      <c r="H319" s="7"/>
      <c r="I319" s="7"/>
      <c r="J319" s="7"/>
    </row>
    <row r="320" spans="2:10" x14ac:dyDescent="0.15">
      <c r="B320"/>
      <c r="C320"/>
      <c r="D320"/>
      <c r="E320"/>
      <c r="F320" s="7"/>
      <c r="G320" s="7"/>
      <c r="H320" s="7"/>
      <c r="I320" s="7"/>
      <c r="J320" s="7"/>
    </row>
    <row r="321" spans="2:10" x14ac:dyDescent="0.15">
      <c r="B321"/>
      <c r="C321"/>
      <c r="D321"/>
      <c r="E321"/>
      <c r="F321" s="7"/>
      <c r="G321" s="7"/>
      <c r="H321" s="7"/>
      <c r="I321" s="7"/>
      <c r="J321" s="7"/>
    </row>
    <row r="322" spans="2:10" x14ac:dyDescent="0.15">
      <c r="B322"/>
      <c r="C322"/>
      <c r="D322"/>
      <c r="E322"/>
      <c r="F322" s="7"/>
      <c r="G322" s="7"/>
      <c r="H322" s="7"/>
      <c r="I322" s="7"/>
      <c r="J322" s="7"/>
    </row>
    <row r="323" spans="2:10" x14ac:dyDescent="0.15">
      <c r="B323"/>
      <c r="C323"/>
      <c r="D323"/>
      <c r="E323"/>
      <c r="F323" s="7"/>
      <c r="G323" s="7"/>
      <c r="H323" s="7"/>
      <c r="I323" s="7"/>
      <c r="J323" s="7"/>
    </row>
    <row r="324" spans="2:10" x14ac:dyDescent="0.15">
      <c r="B324"/>
      <c r="C324"/>
      <c r="D324"/>
      <c r="E324"/>
      <c r="F324" s="7"/>
      <c r="G324" s="7"/>
      <c r="H324" s="7"/>
      <c r="I324" s="7"/>
      <c r="J324" s="7"/>
    </row>
    <row r="325" spans="2:10" x14ac:dyDescent="0.15">
      <c r="B325"/>
      <c r="C325"/>
      <c r="D325"/>
      <c r="E325"/>
      <c r="F325" s="7"/>
      <c r="G325" s="7"/>
      <c r="H325" s="7"/>
      <c r="I325" s="7"/>
      <c r="J325" s="7"/>
    </row>
    <row r="326" spans="2:10" x14ac:dyDescent="0.15">
      <c r="B326"/>
      <c r="C326"/>
      <c r="D326"/>
      <c r="E326"/>
      <c r="F326" s="7"/>
      <c r="G326" s="7"/>
      <c r="H326" s="7"/>
      <c r="I326" s="7"/>
      <c r="J326" s="7"/>
    </row>
    <row r="327" spans="2:10" x14ac:dyDescent="0.15">
      <c r="B327"/>
      <c r="C327"/>
      <c r="D327"/>
      <c r="E327"/>
      <c r="F327" s="7"/>
      <c r="G327" s="7"/>
      <c r="H327" s="7"/>
      <c r="I327" s="7"/>
      <c r="J327" s="7"/>
    </row>
    <row r="328" spans="2:10" x14ac:dyDescent="0.15">
      <c r="B328"/>
      <c r="C328"/>
      <c r="D328"/>
      <c r="E328"/>
      <c r="F328" s="7"/>
      <c r="G328" s="7"/>
      <c r="H328" s="7"/>
      <c r="I328" s="7"/>
      <c r="J328" s="7"/>
    </row>
    <row r="329" spans="2:10" x14ac:dyDescent="0.15">
      <c r="B329"/>
      <c r="C329"/>
      <c r="D329"/>
      <c r="E329"/>
      <c r="F329" s="7"/>
      <c r="G329" s="7"/>
      <c r="H329" s="7"/>
      <c r="I329" s="7"/>
      <c r="J329" s="7"/>
    </row>
    <row r="330" spans="2:10" x14ac:dyDescent="0.15">
      <c r="B330"/>
      <c r="C330"/>
      <c r="D330"/>
      <c r="E330"/>
      <c r="F330" s="7"/>
      <c r="G330" s="7"/>
      <c r="H330" s="7"/>
      <c r="I330" s="7"/>
      <c r="J330" s="7"/>
    </row>
    <row r="331" spans="2:10" x14ac:dyDescent="0.15">
      <c r="B331"/>
      <c r="C331"/>
      <c r="D331"/>
      <c r="E331"/>
      <c r="F331" s="7"/>
      <c r="G331" s="7"/>
      <c r="H331" s="7"/>
      <c r="I331" s="7"/>
      <c r="J331" s="7"/>
    </row>
    <row r="332" spans="2:10" x14ac:dyDescent="0.15">
      <c r="B332"/>
      <c r="C332"/>
      <c r="D332"/>
      <c r="E332"/>
      <c r="F332" s="7"/>
      <c r="G332" s="7"/>
      <c r="H332" s="7"/>
      <c r="I332" s="7"/>
      <c r="J332" s="7"/>
    </row>
    <row r="333" spans="2:10" x14ac:dyDescent="0.15">
      <c r="B333"/>
      <c r="C333"/>
      <c r="D333"/>
      <c r="E333"/>
      <c r="F333" s="7"/>
      <c r="G333" s="7"/>
      <c r="H333" s="7"/>
      <c r="I333" s="7"/>
      <c r="J333" s="7"/>
    </row>
    <row r="334" spans="2:10" x14ac:dyDescent="0.15">
      <c r="B334"/>
      <c r="C334"/>
      <c r="D334"/>
      <c r="E334"/>
      <c r="F334" s="7"/>
      <c r="G334" s="7"/>
      <c r="H334" s="7"/>
      <c r="I334" s="7"/>
      <c r="J334" s="7"/>
    </row>
    <row r="335" spans="2:10" x14ac:dyDescent="0.15">
      <c r="B335"/>
      <c r="C335"/>
      <c r="D335"/>
      <c r="E335"/>
      <c r="F335" s="7"/>
      <c r="G335" s="7"/>
      <c r="H335" s="7"/>
      <c r="I335" s="7"/>
      <c r="J335" s="7"/>
    </row>
    <row r="336" spans="2:10" x14ac:dyDescent="0.15">
      <c r="B336"/>
      <c r="C336"/>
      <c r="D336"/>
      <c r="E336"/>
      <c r="F336" s="7"/>
      <c r="G336" s="7"/>
      <c r="H336" s="7"/>
      <c r="I336" s="7"/>
      <c r="J336" s="7"/>
    </row>
    <row r="337" spans="2:10" x14ac:dyDescent="0.15">
      <c r="B337"/>
      <c r="C337"/>
      <c r="D337"/>
      <c r="E337"/>
      <c r="F337" s="7"/>
      <c r="G337" s="7"/>
      <c r="H337" s="7"/>
      <c r="I337" s="7"/>
      <c r="J337" s="7"/>
    </row>
    <row r="338" spans="2:10" x14ac:dyDescent="0.15">
      <c r="B338"/>
      <c r="C338"/>
      <c r="D338"/>
      <c r="E338"/>
      <c r="F338" s="7"/>
      <c r="G338" s="7"/>
      <c r="H338" s="7"/>
      <c r="I338" s="7"/>
      <c r="J338" s="7"/>
    </row>
    <row r="339" spans="2:10" x14ac:dyDescent="0.15">
      <c r="B339"/>
      <c r="C339"/>
      <c r="D339"/>
      <c r="E339"/>
      <c r="F339" s="7"/>
      <c r="G339" s="7"/>
      <c r="H339" s="7"/>
      <c r="I339" s="7"/>
      <c r="J339" s="7"/>
    </row>
    <row r="340" spans="2:10" x14ac:dyDescent="0.15">
      <c r="B340"/>
      <c r="C340"/>
      <c r="D340"/>
      <c r="E340"/>
      <c r="F340" s="7"/>
      <c r="G340" s="7"/>
      <c r="H340" s="7"/>
      <c r="I340" s="7"/>
      <c r="J340" s="7"/>
    </row>
    <row r="341" spans="2:10" x14ac:dyDescent="0.15">
      <c r="B341"/>
      <c r="C341"/>
      <c r="D341"/>
      <c r="E341"/>
      <c r="F341" s="7"/>
      <c r="G341" s="7"/>
      <c r="H341" s="7"/>
      <c r="I341" s="7"/>
      <c r="J341" s="7"/>
    </row>
    <row r="342" spans="2:10" x14ac:dyDescent="0.15">
      <c r="B342"/>
      <c r="C342"/>
      <c r="D342"/>
      <c r="E342"/>
      <c r="F342" s="7"/>
      <c r="G342" s="7"/>
      <c r="H342" s="7"/>
      <c r="I342" s="7"/>
      <c r="J342" s="7"/>
    </row>
    <row r="343" spans="2:10" x14ac:dyDescent="0.15">
      <c r="B343"/>
      <c r="C343"/>
      <c r="D343"/>
      <c r="E343"/>
      <c r="F343" s="7"/>
      <c r="G343" s="7"/>
      <c r="H343" s="7"/>
      <c r="I343" s="7"/>
      <c r="J343" s="7"/>
    </row>
    <row r="344" spans="2:10" x14ac:dyDescent="0.15">
      <c r="B344"/>
      <c r="C344"/>
      <c r="D344"/>
      <c r="E344"/>
      <c r="F344" s="7"/>
      <c r="G344" s="7"/>
      <c r="H344" s="7"/>
      <c r="I344" s="7"/>
      <c r="J344" s="7"/>
    </row>
    <row r="345" spans="2:10" x14ac:dyDescent="0.15">
      <c r="B345"/>
      <c r="C345"/>
      <c r="D345"/>
      <c r="E345"/>
      <c r="F345" s="7"/>
      <c r="G345" s="7"/>
      <c r="H345" s="7"/>
      <c r="I345" s="7"/>
      <c r="J345" s="7"/>
    </row>
    <row r="346" spans="2:10" x14ac:dyDescent="0.15">
      <c r="B346"/>
      <c r="C346"/>
      <c r="D346"/>
      <c r="E346"/>
      <c r="F346" s="7"/>
      <c r="G346" s="7"/>
      <c r="H346" s="7"/>
      <c r="I346" s="7"/>
      <c r="J346" s="7"/>
    </row>
    <row r="347" spans="2:10" x14ac:dyDescent="0.15">
      <c r="B347"/>
      <c r="C347"/>
      <c r="D347"/>
      <c r="E347"/>
      <c r="F347" s="7"/>
      <c r="G347" s="7"/>
      <c r="H347" s="7"/>
      <c r="I347" s="7"/>
      <c r="J347" s="7"/>
    </row>
    <row r="348" spans="2:10" x14ac:dyDescent="0.15">
      <c r="B348"/>
      <c r="C348"/>
      <c r="D348"/>
      <c r="E348"/>
      <c r="F348" s="7"/>
      <c r="G348" s="7"/>
      <c r="H348" s="7"/>
      <c r="I348" s="7"/>
      <c r="J348" s="7"/>
    </row>
    <row r="349" spans="2:10" x14ac:dyDescent="0.15">
      <c r="B349"/>
      <c r="C349"/>
      <c r="D349"/>
      <c r="E349"/>
      <c r="F349" s="7"/>
      <c r="G349" s="7"/>
      <c r="H349" s="7"/>
      <c r="I349" s="7"/>
      <c r="J349" s="7"/>
    </row>
    <row r="350" spans="2:10" x14ac:dyDescent="0.15">
      <c r="B350"/>
      <c r="C350"/>
      <c r="D350"/>
      <c r="E350"/>
      <c r="F350" s="7"/>
      <c r="G350" s="7"/>
      <c r="H350" s="7"/>
      <c r="I350" s="7"/>
      <c r="J350" s="7"/>
    </row>
    <row r="351" spans="2:10" x14ac:dyDescent="0.15">
      <c r="B351"/>
      <c r="C351"/>
      <c r="D351"/>
      <c r="E351"/>
      <c r="F351" s="7"/>
      <c r="G351" s="7"/>
      <c r="H351" s="7"/>
      <c r="I351" s="7"/>
      <c r="J351" s="7"/>
    </row>
    <row r="352" spans="2:10" x14ac:dyDescent="0.15">
      <c r="B352"/>
      <c r="C352"/>
      <c r="D352"/>
      <c r="E352"/>
      <c r="F352" s="7"/>
      <c r="G352" s="7"/>
      <c r="H352" s="7"/>
      <c r="I352" s="7"/>
      <c r="J352" s="7"/>
    </row>
    <row r="353" spans="2:10" x14ac:dyDescent="0.15">
      <c r="B353"/>
      <c r="C353"/>
      <c r="D353"/>
      <c r="E353"/>
      <c r="F353" s="7"/>
      <c r="G353" s="7"/>
      <c r="H353" s="7"/>
      <c r="I353" s="7"/>
      <c r="J353" s="7"/>
    </row>
    <row r="354" spans="2:10" x14ac:dyDescent="0.15">
      <c r="B354"/>
      <c r="C354"/>
      <c r="D354"/>
      <c r="E354"/>
      <c r="F354" s="7"/>
      <c r="G354" s="7"/>
      <c r="H354" s="7"/>
      <c r="I354" s="7"/>
      <c r="J354" s="7"/>
    </row>
    <row r="355" spans="2:10" x14ac:dyDescent="0.15">
      <c r="B355"/>
      <c r="C355"/>
      <c r="D355"/>
      <c r="E355"/>
      <c r="F355" s="7"/>
      <c r="G355" s="7"/>
      <c r="H355" s="7"/>
      <c r="I355" s="7"/>
      <c r="J355" s="7"/>
    </row>
    <row r="356" spans="2:10" x14ac:dyDescent="0.15">
      <c r="B356"/>
      <c r="C356"/>
      <c r="D356"/>
      <c r="E356"/>
      <c r="F356" s="7"/>
      <c r="G356" s="7"/>
      <c r="H356" s="7"/>
      <c r="I356" s="7"/>
      <c r="J356" s="7"/>
    </row>
    <row r="357" spans="2:10" x14ac:dyDescent="0.15">
      <c r="B357"/>
      <c r="C357"/>
      <c r="D357"/>
      <c r="E357"/>
      <c r="F357" s="7"/>
      <c r="G357" s="7"/>
      <c r="H357" s="7"/>
      <c r="I357" s="7"/>
      <c r="J357" s="7"/>
    </row>
    <row r="358" spans="2:10" x14ac:dyDescent="0.15">
      <c r="B358"/>
      <c r="C358"/>
      <c r="D358"/>
      <c r="E358"/>
      <c r="F358" s="7"/>
      <c r="G358" s="7"/>
      <c r="H358" s="7"/>
      <c r="I358" s="7"/>
      <c r="J358" s="7"/>
    </row>
    <row r="359" spans="2:10" x14ac:dyDescent="0.15">
      <c r="B359"/>
      <c r="C359"/>
      <c r="D359"/>
      <c r="E359"/>
      <c r="F359" s="7"/>
      <c r="G359" s="7"/>
      <c r="H359" s="7"/>
      <c r="I359" s="7"/>
      <c r="J359" s="7"/>
    </row>
    <row r="360" spans="2:10" x14ac:dyDescent="0.15">
      <c r="B360"/>
      <c r="C360"/>
      <c r="D360"/>
      <c r="E360"/>
      <c r="F360" s="7"/>
      <c r="G360" s="7"/>
      <c r="H360" s="7"/>
      <c r="I360" s="7"/>
      <c r="J360" s="7"/>
    </row>
    <row r="361" spans="2:10" x14ac:dyDescent="0.15">
      <c r="B361"/>
      <c r="C361"/>
      <c r="D361"/>
      <c r="E361"/>
      <c r="F361" s="7"/>
      <c r="G361" s="7"/>
      <c r="H361" s="7"/>
      <c r="I361" s="7"/>
      <c r="J361" s="7"/>
    </row>
    <row r="362" spans="2:10" x14ac:dyDescent="0.15">
      <c r="B362"/>
      <c r="C362"/>
      <c r="D362"/>
      <c r="E362"/>
      <c r="F362" s="7"/>
      <c r="G362" s="7"/>
      <c r="H362" s="7"/>
      <c r="I362" s="7"/>
      <c r="J362" s="7"/>
    </row>
    <row r="363" spans="2:10" x14ac:dyDescent="0.15">
      <c r="B363"/>
      <c r="C363"/>
      <c r="D363"/>
      <c r="E363"/>
      <c r="F363" s="7"/>
      <c r="G363" s="7"/>
      <c r="H363" s="7"/>
      <c r="I363" s="7"/>
      <c r="J363" s="7"/>
    </row>
    <row r="364" spans="2:10" x14ac:dyDescent="0.15">
      <c r="B364"/>
      <c r="C364"/>
      <c r="D364"/>
      <c r="E364"/>
      <c r="F364" s="7"/>
      <c r="G364" s="7"/>
      <c r="H364" s="7"/>
      <c r="I364" s="7"/>
      <c r="J364" s="7"/>
    </row>
    <row r="365" spans="2:10" x14ac:dyDescent="0.15">
      <c r="B365"/>
      <c r="C365"/>
      <c r="D365"/>
      <c r="E365"/>
      <c r="F365" s="7"/>
      <c r="G365" s="7"/>
      <c r="H365" s="7"/>
      <c r="I365" s="7"/>
      <c r="J365" s="7"/>
    </row>
    <row r="366" spans="2:10" x14ac:dyDescent="0.15">
      <c r="B366"/>
      <c r="C366"/>
      <c r="D366"/>
      <c r="E366"/>
      <c r="F366" s="7"/>
      <c r="G366" s="7"/>
      <c r="H366" s="7"/>
      <c r="I366" s="7"/>
      <c r="J366" s="7"/>
    </row>
    <row r="367" spans="2:10" x14ac:dyDescent="0.15">
      <c r="B367"/>
      <c r="C367"/>
      <c r="D367"/>
      <c r="E367"/>
      <c r="F367" s="7"/>
      <c r="G367" s="7"/>
      <c r="H367" s="7"/>
      <c r="I367" s="7"/>
      <c r="J367" s="7"/>
    </row>
    <row r="368" spans="2:10" x14ac:dyDescent="0.15">
      <c r="B368"/>
      <c r="C368"/>
      <c r="D368"/>
      <c r="E368"/>
      <c r="F368" s="7"/>
      <c r="G368" s="7"/>
      <c r="H368" s="7"/>
      <c r="I368" s="7"/>
      <c r="J368" s="7"/>
    </row>
    <row r="369" spans="2:10" x14ac:dyDescent="0.15">
      <c r="B369"/>
      <c r="C369"/>
      <c r="D369"/>
      <c r="E369"/>
      <c r="F369" s="7"/>
      <c r="G369" s="7"/>
      <c r="H369" s="7"/>
      <c r="I369" s="7"/>
      <c r="J369" s="7"/>
    </row>
    <row r="370" spans="2:10" x14ac:dyDescent="0.15">
      <c r="B370"/>
      <c r="C370"/>
      <c r="D370"/>
      <c r="E370"/>
      <c r="F370" s="7"/>
      <c r="G370" s="7"/>
      <c r="H370" s="7"/>
      <c r="I370" s="7"/>
      <c r="J370" s="7"/>
    </row>
    <row r="371" spans="2:10" x14ac:dyDescent="0.15">
      <c r="B371"/>
      <c r="C371"/>
      <c r="D371"/>
      <c r="E371"/>
      <c r="F371" s="7"/>
      <c r="G371" s="7"/>
      <c r="H371" s="7"/>
      <c r="I371" s="7"/>
      <c r="J371" s="7"/>
    </row>
    <row r="372" spans="2:10" x14ac:dyDescent="0.15">
      <c r="B372"/>
      <c r="C372"/>
      <c r="D372"/>
      <c r="E372"/>
      <c r="F372" s="7"/>
      <c r="G372" s="7"/>
      <c r="H372" s="7"/>
      <c r="I372" s="7"/>
      <c r="J372" s="7"/>
    </row>
    <row r="373" spans="2:10" x14ac:dyDescent="0.15">
      <c r="B373"/>
      <c r="C373"/>
      <c r="D373"/>
      <c r="E373"/>
      <c r="F373" s="7"/>
      <c r="G373" s="7"/>
      <c r="H373" s="7"/>
      <c r="I373" s="7"/>
      <c r="J373" s="7"/>
    </row>
    <row r="374" spans="2:10" x14ac:dyDescent="0.15">
      <c r="B374"/>
      <c r="C374"/>
      <c r="D374"/>
      <c r="E374"/>
      <c r="F374" s="7"/>
      <c r="G374" s="7"/>
      <c r="H374" s="7"/>
      <c r="I374" s="7"/>
      <c r="J374" s="7"/>
    </row>
    <row r="375" spans="2:10" x14ac:dyDescent="0.15">
      <c r="B375"/>
      <c r="C375"/>
      <c r="D375"/>
      <c r="E375"/>
      <c r="F375" s="7"/>
      <c r="G375" s="7"/>
      <c r="H375" s="7"/>
      <c r="I375" s="7"/>
      <c r="J375" s="7"/>
    </row>
    <row r="376" spans="2:10" x14ac:dyDescent="0.15">
      <c r="B376"/>
      <c r="C376"/>
      <c r="D376"/>
      <c r="E376"/>
      <c r="F376" s="7"/>
      <c r="G376" s="7"/>
      <c r="H376" s="7"/>
      <c r="I376" s="7"/>
      <c r="J376" s="7"/>
    </row>
    <row r="377" spans="2:10" x14ac:dyDescent="0.15">
      <c r="B377"/>
      <c r="C377"/>
      <c r="D377"/>
      <c r="E377"/>
      <c r="F377" s="7"/>
      <c r="G377" s="7"/>
      <c r="H377" s="7"/>
      <c r="I377" s="7"/>
      <c r="J377" s="7"/>
    </row>
    <row r="378" spans="2:10" x14ac:dyDescent="0.15">
      <c r="B378"/>
      <c r="C378"/>
      <c r="D378"/>
      <c r="E378"/>
      <c r="F378" s="7"/>
      <c r="G378" s="7"/>
      <c r="H378" s="7"/>
      <c r="I378" s="7"/>
      <c r="J378" s="7"/>
    </row>
    <row r="379" spans="2:10" x14ac:dyDescent="0.15">
      <c r="B379"/>
      <c r="C379"/>
      <c r="D379"/>
      <c r="E379"/>
      <c r="F379" s="7"/>
      <c r="G379" s="7"/>
      <c r="H379" s="7"/>
      <c r="I379" s="7"/>
      <c r="J379" s="7"/>
    </row>
    <row r="380" spans="2:10" x14ac:dyDescent="0.15">
      <c r="B380"/>
      <c r="C380"/>
      <c r="D380"/>
      <c r="E380"/>
      <c r="F380" s="7"/>
      <c r="G380" s="7"/>
      <c r="H380" s="7"/>
      <c r="I380" s="7"/>
      <c r="J380" s="7"/>
    </row>
    <row r="381" spans="2:10" x14ac:dyDescent="0.15">
      <c r="B381"/>
      <c r="C381"/>
      <c r="D381"/>
      <c r="E381"/>
      <c r="F381" s="7"/>
      <c r="G381" s="7"/>
      <c r="H381" s="7"/>
      <c r="I381" s="7"/>
      <c r="J381" s="7"/>
    </row>
    <row r="382" spans="2:10" x14ac:dyDescent="0.15">
      <c r="B382"/>
      <c r="C382"/>
      <c r="D382"/>
      <c r="E382"/>
      <c r="F382" s="7"/>
      <c r="G382" s="7"/>
      <c r="H382" s="7"/>
      <c r="I382" s="7"/>
      <c r="J382" s="7"/>
    </row>
    <row r="383" spans="2:10" x14ac:dyDescent="0.15">
      <c r="B383"/>
      <c r="C383"/>
      <c r="D383"/>
      <c r="E383"/>
      <c r="F383" s="7"/>
      <c r="G383" s="7"/>
      <c r="H383" s="7"/>
      <c r="I383" s="7"/>
      <c r="J383" s="7"/>
    </row>
    <row r="384" spans="2:10" x14ac:dyDescent="0.15">
      <c r="B384"/>
      <c r="C384"/>
      <c r="D384"/>
      <c r="E384"/>
      <c r="F384" s="7"/>
      <c r="G384" s="7"/>
      <c r="H384" s="7"/>
      <c r="I384" s="7"/>
      <c r="J384" s="7"/>
    </row>
    <row r="385" spans="2:10" x14ac:dyDescent="0.15">
      <c r="B385"/>
      <c r="C385"/>
      <c r="D385"/>
      <c r="E385"/>
      <c r="F385" s="7"/>
      <c r="G385" s="7"/>
      <c r="H385" s="7"/>
      <c r="I385" s="7"/>
      <c r="J385" s="7"/>
    </row>
    <row r="386" spans="2:10" x14ac:dyDescent="0.15">
      <c r="B386"/>
      <c r="C386"/>
      <c r="D386"/>
      <c r="E386"/>
      <c r="F386" s="7"/>
      <c r="G386" s="7"/>
      <c r="H386" s="7"/>
      <c r="I386" s="7"/>
      <c r="J386" s="7"/>
    </row>
    <row r="387" spans="2:10" x14ac:dyDescent="0.15">
      <c r="B387"/>
      <c r="C387"/>
      <c r="D387"/>
      <c r="E387"/>
      <c r="F387" s="7"/>
      <c r="G387" s="7"/>
      <c r="H387" s="7"/>
      <c r="I387" s="7"/>
      <c r="J387" s="7"/>
    </row>
    <row r="388" spans="2:10" x14ac:dyDescent="0.15">
      <c r="B388"/>
      <c r="C388"/>
      <c r="D388"/>
      <c r="E388"/>
      <c r="F388" s="7"/>
      <c r="G388" s="7"/>
      <c r="H388" s="7"/>
      <c r="I388" s="7"/>
      <c r="J388" s="7"/>
    </row>
    <row r="389" spans="2:10" x14ac:dyDescent="0.15">
      <c r="B389"/>
      <c r="C389"/>
      <c r="D389"/>
      <c r="E389"/>
      <c r="F389" s="7"/>
      <c r="G389" s="7"/>
      <c r="H389" s="7"/>
      <c r="I389" s="7"/>
      <c r="J389" s="7"/>
    </row>
    <row r="390" spans="2:10" x14ac:dyDescent="0.15">
      <c r="B390"/>
      <c r="C390"/>
      <c r="D390"/>
      <c r="E390"/>
      <c r="F390" s="7"/>
      <c r="G390" s="7"/>
      <c r="H390" s="7"/>
      <c r="I390" s="7"/>
      <c r="J390" s="7"/>
    </row>
    <row r="391" spans="2:10" x14ac:dyDescent="0.15">
      <c r="B391"/>
      <c r="C391"/>
      <c r="D391"/>
      <c r="E391"/>
      <c r="F391" s="7"/>
      <c r="G391" s="7"/>
      <c r="H391" s="7"/>
      <c r="I391" s="7"/>
      <c r="J391" s="7"/>
    </row>
    <row r="392" spans="2:10" x14ac:dyDescent="0.15">
      <c r="B392"/>
      <c r="C392"/>
      <c r="D392"/>
      <c r="E392"/>
      <c r="F392" s="7"/>
      <c r="G392" s="7"/>
      <c r="H392" s="7"/>
      <c r="I392" s="7"/>
      <c r="J392" s="7"/>
    </row>
    <row r="393" spans="2:10" x14ac:dyDescent="0.15">
      <c r="B393"/>
      <c r="C393"/>
      <c r="D393"/>
      <c r="E393"/>
      <c r="F393" s="7"/>
      <c r="G393" s="7"/>
      <c r="H393" s="7"/>
      <c r="I393" s="7"/>
      <c r="J393" s="7"/>
    </row>
    <row r="394" spans="2:10" x14ac:dyDescent="0.15">
      <c r="B394"/>
      <c r="C394"/>
      <c r="D394"/>
      <c r="E394"/>
      <c r="F394" s="7"/>
      <c r="G394" s="7"/>
      <c r="H394" s="7"/>
      <c r="I394" s="7"/>
      <c r="J394" s="7"/>
    </row>
    <row r="395" spans="2:10" x14ac:dyDescent="0.15">
      <c r="B395"/>
      <c r="C395"/>
      <c r="D395"/>
      <c r="E395"/>
      <c r="F395" s="7"/>
      <c r="G395" s="7"/>
      <c r="H395" s="7"/>
      <c r="I395" s="7"/>
      <c r="J395" s="7"/>
    </row>
    <row r="396" spans="2:10" x14ac:dyDescent="0.15">
      <c r="B396"/>
      <c r="C396"/>
      <c r="D396"/>
      <c r="E396"/>
      <c r="F396" s="7"/>
      <c r="G396" s="7"/>
      <c r="H396" s="7"/>
      <c r="I396" s="7"/>
      <c r="J396" s="7"/>
    </row>
    <row r="397" spans="2:10" x14ac:dyDescent="0.15">
      <c r="B397"/>
      <c r="C397"/>
      <c r="D397"/>
      <c r="E397"/>
      <c r="F397" s="7"/>
      <c r="G397" s="7"/>
      <c r="H397" s="7"/>
      <c r="I397" s="7"/>
      <c r="J397" s="7"/>
    </row>
    <row r="398" spans="2:10" x14ac:dyDescent="0.15">
      <c r="B398"/>
      <c r="C398"/>
      <c r="D398"/>
      <c r="E398"/>
      <c r="F398" s="7"/>
      <c r="G398" s="7"/>
      <c r="H398" s="7"/>
      <c r="I398" s="7"/>
      <c r="J398" s="7"/>
    </row>
    <row r="399" spans="2:10" x14ac:dyDescent="0.15">
      <c r="B399"/>
      <c r="C399"/>
      <c r="D399"/>
      <c r="E399"/>
      <c r="F399" s="7"/>
      <c r="G399" s="7"/>
      <c r="H399" s="7"/>
      <c r="I399" s="7"/>
      <c r="J399" s="7"/>
    </row>
    <row r="400" spans="2:10" x14ac:dyDescent="0.15">
      <c r="B400"/>
      <c r="C400"/>
      <c r="D400"/>
      <c r="E400"/>
      <c r="F400" s="7"/>
      <c r="G400" s="7"/>
      <c r="H400" s="7"/>
      <c r="I400" s="7"/>
      <c r="J400" s="7"/>
    </row>
    <row r="401" spans="2:10" x14ac:dyDescent="0.15">
      <c r="B401"/>
      <c r="C401"/>
      <c r="D401"/>
      <c r="E401"/>
      <c r="F401" s="7"/>
      <c r="G401" s="7"/>
      <c r="H401" s="7"/>
      <c r="I401" s="7"/>
      <c r="J401" s="7"/>
    </row>
    <row r="402" spans="2:10" x14ac:dyDescent="0.15">
      <c r="B402"/>
      <c r="C402"/>
      <c r="D402"/>
      <c r="E402"/>
      <c r="F402" s="7"/>
      <c r="G402" s="7"/>
      <c r="H402" s="7"/>
      <c r="I402" s="7"/>
      <c r="J402" s="7"/>
    </row>
    <row r="403" spans="2:10" x14ac:dyDescent="0.15">
      <c r="B403"/>
      <c r="C403"/>
      <c r="D403"/>
      <c r="E403"/>
      <c r="F403" s="7"/>
      <c r="G403" s="7"/>
      <c r="H403" s="7"/>
      <c r="I403" s="7"/>
      <c r="J403" s="7"/>
    </row>
    <row r="404" spans="2:10" x14ac:dyDescent="0.15">
      <c r="B404"/>
      <c r="C404"/>
      <c r="D404"/>
      <c r="E404"/>
      <c r="F404" s="7"/>
      <c r="G404" s="7"/>
      <c r="H404" s="7"/>
      <c r="I404" s="7"/>
      <c r="J404" s="7"/>
    </row>
    <row r="405" spans="2:10" x14ac:dyDescent="0.15">
      <c r="B405"/>
      <c r="C405"/>
      <c r="D405"/>
      <c r="E405"/>
      <c r="F405" s="7"/>
      <c r="G405" s="7"/>
      <c r="H405" s="7"/>
      <c r="I405" s="7"/>
      <c r="J405" s="7"/>
    </row>
    <row r="406" spans="2:10" x14ac:dyDescent="0.15">
      <c r="B406"/>
      <c r="C406"/>
      <c r="D406"/>
      <c r="E406"/>
      <c r="F406" s="7"/>
      <c r="G406" s="7"/>
      <c r="H406" s="7"/>
      <c r="I406" s="7"/>
      <c r="J406" s="7"/>
    </row>
    <row r="407" spans="2:10" x14ac:dyDescent="0.15">
      <c r="B407"/>
      <c r="C407"/>
      <c r="D407"/>
      <c r="E407"/>
      <c r="F407" s="7"/>
      <c r="G407" s="7"/>
      <c r="H407" s="7"/>
      <c r="I407" s="7"/>
      <c r="J407" s="7"/>
    </row>
    <row r="408" spans="2:10" x14ac:dyDescent="0.15">
      <c r="B408"/>
      <c r="C408"/>
      <c r="D408"/>
      <c r="E408"/>
      <c r="F408" s="7"/>
      <c r="G408" s="7"/>
      <c r="H408" s="7"/>
      <c r="I408" s="7"/>
      <c r="J408" s="7"/>
    </row>
    <row r="409" spans="2:10" x14ac:dyDescent="0.15">
      <c r="B409"/>
      <c r="C409"/>
      <c r="D409"/>
      <c r="E409"/>
      <c r="F409" s="7"/>
      <c r="G409" s="7"/>
      <c r="H409" s="7"/>
      <c r="I409" s="7"/>
      <c r="J409" s="7"/>
    </row>
    <row r="410" spans="2:10" x14ac:dyDescent="0.15">
      <c r="B410"/>
      <c r="C410"/>
      <c r="D410"/>
      <c r="E410"/>
      <c r="F410" s="7"/>
      <c r="G410" s="7"/>
      <c r="H410" s="7"/>
      <c r="I410" s="7"/>
      <c r="J410" s="7"/>
    </row>
    <row r="411" spans="2:10" x14ac:dyDescent="0.15">
      <c r="B411"/>
      <c r="C411"/>
      <c r="D411"/>
      <c r="E411"/>
      <c r="F411" s="7"/>
      <c r="G411" s="7"/>
      <c r="H411" s="7"/>
      <c r="I411" s="7"/>
      <c r="J411" s="7"/>
    </row>
    <row r="412" spans="2:10" x14ac:dyDescent="0.15">
      <c r="B412"/>
      <c r="C412"/>
      <c r="D412"/>
      <c r="E412"/>
      <c r="F412" s="7"/>
      <c r="G412" s="7"/>
      <c r="H412" s="7"/>
      <c r="I412" s="7"/>
      <c r="J412" s="7"/>
    </row>
    <row r="413" spans="2:10" x14ac:dyDescent="0.15">
      <c r="B413"/>
      <c r="C413"/>
      <c r="D413"/>
      <c r="E413"/>
      <c r="F413" s="7"/>
      <c r="G413" s="7"/>
      <c r="H413" s="7"/>
      <c r="I413" s="7"/>
      <c r="J413" s="7"/>
    </row>
    <row r="414" spans="2:10" x14ac:dyDescent="0.15">
      <c r="B414"/>
      <c r="C414"/>
      <c r="D414"/>
      <c r="E414"/>
      <c r="F414" s="7"/>
      <c r="G414" s="7"/>
      <c r="H414" s="7"/>
      <c r="I414" s="7"/>
      <c r="J414" s="7"/>
    </row>
    <row r="415" spans="2:10" x14ac:dyDescent="0.15">
      <c r="B415"/>
      <c r="C415"/>
      <c r="D415"/>
      <c r="E415"/>
      <c r="F415" s="7"/>
      <c r="G415" s="7"/>
      <c r="H415" s="7"/>
      <c r="I415" s="7"/>
      <c r="J415" s="7"/>
    </row>
    <row r="416" spans="2:10" x14ac:dyDescent="0.15">
      <c r="B416"/>
      <c r="C416"/>
      <c r="D416"/>
      <c r="E416"/>
      <c r="F416" s="7"/>
      <c r="G416" s="7"/>
      <c r="H416" s="7"/>
      <c r="I416" s="7"/>
      <c r="J416" s="7"/>
    </row>
    <row r="417" spans="2:10" x14ac:dyDescent="0.15">
      <c r="B417"/>
      <c r="C417"/>
      <c r="D417"/>
      <c r="E417"/>
      <c r="F417" s="7"/>
      <c r="G417" s="7"/>
      <c r="H417" s="7"/>
      <c r="I417" s="7"/>
      <c r="J417" s="7"/>
    </row>
    <row r="418" spans="2:10" x14ac:dyDescent="0.15">
      <c r="B418"/>
      <c r="C418"/>
      <c r="D418"/>
      <c r="E418"/>
      <c r="F418" s="7"/>
      <c r="G418" s="7"/>
      <c r="H418" s="7"/>
      <c r="I418" s="7"/>
      <c r="J418" s="7"/>
    </row>
    <row r="419" spans="2:10" x14ac:dyDescent="0.15">
      <c r="B419"/>
      <c r="C419"/>
      <c r="D419"/>
      <c r="E419"/>
      <c r="F419" s="7"/>
      <c r="G419" s="7"/>
      <c r="H419" s="7"/>
      <c r="I419" s="7"/>
      <c r="J419" s="7"/>
    </row>
    <row r="420" spans="2:10" x14ac:dyDescent="0.15">
      <c r="B420"/>
      <c r="C420"/>
      <c r="D420"/>
      <c r="E420"/>
      <c r="F420" s="7"/>
      <c r="G420" s="7"/>
      <c r="H420" s="7"/>
      <c r="I420" s="7"/>
      <c r="J420" s="7"/>
    </row>
    <row r="421" spans="2:10" x14ac:dyDescent="0.15">
      <c r="B421"/>
      <c r="C421"/>
      <c r="D421"/>
      <c r="E421"/>
      <c r="F421" s="7"/>
      <c r="G421" s="7"/>
      <c r="H421" s="7"/>
      <c r="I421" s="7"/>
      <c r="J421" s="7"/>
    </row>
    <row r="422" spans="2:10" x14ac:dyDescent="0.15">
      <c r="B422"/>
      <c r="C422"/>
      <c r="D422"/>
      <c r="E422"/>
      <c r="F422" s="7"/>
      <c r="G422" s="7"/>
      <c r="H422" s="7"/>
      <c r="I422" s="7"/>
      <c r="J422" s="7"/>
    </row>
    <row r="423" spans="2:10" x14ac:dyDescent="0.15">
      <c r="B423"/>
      <c r="C423"/>
      <c r="D423"/>
      <c r="E423"/>
      <c r="F423" s="7"/>
      <c r="G423" s="7"/>
      <c r="H423" s="7"/>
      <c r="I423" s="7"/>
      <c r="J423" s="7"/>
    </row>
    <row r="424" spans="2:10" x14ac:dyDescent="0.15">
      <c r="B424"/>
      <c r="C424"/>
      <c r="D424"/>
      <c r="E424"/>
      <c r="F424" s="7"/>
      <c r="G424" s="7"/>
      <c r="H424" s="7"/>
      <c r="I424" s="7"/>
      <c r="J424" s="7"/>
    </row>
    <row r="425" spans="2:10" x14ac:dyDescent="0.15">
      <c r="B425"/>
      <c r="C425"/>
      <c r="D425"/>
      <c r="E425"/>
      <c r="F425" s="7"/>
      <c r="G425" s="7"/>
      <c r="H425" s="7"/>
      <c r="I425" s="7"/>
      <c r="J425" s="7"/>
    </row>
    <row r="426" spans="2:10" x14ac:dyDescent="0.15">
      <c r="B426"/>
      <c r="C426"/>
      <c r="D426"/>
      <c r="E426"/>
      <c r="F426" s="7"/>
      <c r="G426" s="7"/>
      <c r="H426" s="7"/>
      <c r="I426" s="7"/>
      <c r="J426" s="7"/>
    </row>
    <row r="427" spans="2:10" x14ac:dyDescent="0.15">
      <c r="B427"/>
      <c r="C427"/>
      <c r="D427"/>
      <c r="E427"/>
      <c r="F427" s="7"/>
      <c r="G427" s="7"/>
      <c r="H427" s="7"/>
      <c r="I427" s="7"/>
      <c r="J427" s="7"/>
    </row>
    <row r="428" spans="2:10" x14ac:dyDescent="0.15">
      <c r="B428"/>
      <c r="C428"/>
      <c r="D428"/>
      <c r="E428"/>
      <c r="F428" s="7"/>
      <c r="G428" s="7"/>
      <c r="H428" s="7"/>
      <c r="I428" s="7"/>
      <c r="J428" s="7"/>
    </row>
    <row r="429" spans="2:10" x14ac:dyDescent="0.15">
      <c r="B429"/>
      <c r="C429"/>
      <c r="D429"/>
      <c r="E429"/>
      <c r="F429" s="7"/>
      <c r="G429" s="7"/>
      <c r="H429" s="7"/>
      <c r="I429" s="7"/>
      <c r="J429" s="7"/>
    </row>
    <row r="430" spans="2:10" x14ac:dyDescent="0.15">
      <c r="B430"/>
      <c r="C430"/>
      <c r="D430"/>
      <c r="E430"/>
      <c r="F430" s="7"/>
      <c r="G430" s="7"/>
      <c r="H430" s="7"/>
      <c r="I430" s="7"/>
      <c r="J430" s="7"/>
    </row>
    <row r="431" spans="2:10" x14ac:dyDescent="0.15">
      <c r="B431"/>
      <c r="C431"/>
      <c r="D431"/>
      <c r="E431"/>
      <c r="F431" s="7"/>
      <c r="G431" s="7"/>
      <c r="H431" s="7"/>
      <c r="I431" s="7"/>
      <c r="J431" s="7"/>
    </row>
    <row r="432" spans="2:10" x14ac:dyDescent="0.15">
      <c r="B432"/>
      <c r="C432"/>
      <c r="D432"/>
      <c r="E432"/>
      <c r="F432" s="7"/>
      <c r="G432" s="7"/>
      <c r="H432" s="7"/>
      <c r="I432" s="7"/>
      <c r="J432" s="7"/>
    </row>
    <row r="433" spans="2:10" x14ac:dyDescent="0.15">
      <c r="B433"/>
      <c r="C433"/>
      <c r="D433"/>
      <c r="E433"/>
      <c r="F433" s="7"/>
      <c r="G433" s="7"/>
      <c r="H433" s="7"/>
      <c r="I433" s="7"/>
      <c r="J433" s="7"/>
    </row>
    <row r="434" spans="2:10" x14ac:dyDescent="0.15">
      <c r="B434"/>
      <c r="C434"/>
      <c r="D434"/>
      <c r="E434"/>
      <c r="F434" s="7"/>
      <c r="G434" s="7"/>
      <c r="H434" s="7"/>
      <c r="I434" s="7"/>
      <c r="J434" s="7"/>
    </row>
    <row r="435" spans="2:10" x14ac:dyDescent="0.15">
      <c r="B435"/>
      <c r="C435"/>
      <c r="D435"/>
      <c r="E435"/>
      <c r="F435" s="7"/>
      <c r="G435" s="7"/>
      <c r="H435" s="7"/>
      <c r="I435" s="7"/>
      <c r="J435" s="7"/>
    </row>
    <row r="436" spans="2:10" x14ac:dyDescent="0.15">
      <c r="B436"/>
      <c r="C436"/>
      <c r="D436"/>
      <c r="E436"/>
      <c r="F436" s="7"/>
      <c r="G436" s="7"/>
      <c r="H436" s="7"/>
      <c r="I436" s="7"/>
      <c r="J436" s="7"/>
    </row>
    <row r="437" spans="2:10" x14ac:dyDescent="0.15">
      <c r="B437"/>
      <c r="C437"/>
      <c r="D437"/>
      <c r="E437"/>
      <c r="F437" s="7"/>
      <c r="G437" s="7"/>
      <c r="H437" s="7"/>
      <c r="I437" s="7"/>
      <c r="J437" s="7"/>
    </row>
    <row r="438" spans="2:10" x14ac:dyDescent="0.15">
      <c r="B438"/>
      <c r="C438"/>
      <c r="D438"/>
      <c r="E438"/>
      <c r="F438" s="7"/>
      <c r="G438" s="7"/>
      <c r="H438" s="7"/>
      <c r="I438" s="7"/>
      <c r="J438" s="7"/>
    </row>
    <row r="439" spans="2:10" x14ac:dyDescent="0.15">
      <c r="B439"/>
      <c r="C439"/>
      <c r="D439"/>
      <c r="E439"/>
      <c r="F439" s="7"/>
      <c r="G439" s="7"/>
      <c r="H439" s="7"/>
      <c r="I439" s="7"/>
      <c r="J439" s="7"/>
    </row>
    <row r="440" spans="2:10" x14ac:dyDescent="0.15">
      <c r="B440"/>
      <c r="C440"/>
      <c r="D440"/>
      <c r="E440"/>
      <c r="F440" s="7"/>
      <c r="G440" s="7"/>
      <c r="H440" s="7"/>
      <c r="I440" s="7"/>
      <c r="J440" s="7"/>
    </row>
    <row r="441" spans="2:10" x14ac:dyDescent="0.15">
      <c r="B441"/>
      <c r="C441"/>
      <c r="D441"/>
      <c r="E441"/>
      <c r="F441" s="7"/>
      <c r="G441" s="7"/>
      <c r="H441" s="7"/>
      <c r="I441" s="7"/>
      <c r="J441" s="7"/>
    </row>
    <row r="442" spans="2:10" x14ac:dyDescent="0.15">
      <c r="B442"/>
      <c r="C442"/>
      <c r="D442"/>
      <c r="E442"/>
      <c r="F442" s="7"/>
      <c r="G442" s="7"/>
      <c r="H442" s="7"/>
      <c r="I442" s="7"/>
      <c r="J442" s="7"/>
    </row>
    <row r="443" spans="2:10" x14ac:dyDescent="0.15">
      <c r="B443"/>
      <c r="C443"/>
      <c r="D443"/>
      <c r="E443"/>
      <c r="F443" s="7"/>
      <c r="G443" s="7"/>
      <c r="H443" s="7"/>
      <c r="I443" s="7"/>
      <c r="J443" s="7"/>
    </row>
    <row r="444" spans="2:10" x14ac:dyDescent="0.15">
      <c r="B444"/>
      <c r="C444"/>
      <c r="D444"/>
      <c r="E444"/>
      <c r="F444" s="7"/>
      <c r="G444" s="7"/>
      <c r="H444" s="7"/>
      <c r="I444" s="7"/>
      <c r="J444" s="7"/>
    </row>
    <row r="445" spans="2:10" x14ac:dyDescent="0.15">
      <c r="B445"/>
      <c r="C445"/>
      <c r="D445"/>
      <c r="E445"/>
      <c r="F445" s="7"/>
      <c r="G445" s="7"/>
      <c r="H445" s="7"/>
      <c r="I445" s="7"/>
      <c r="J445" s="7"/>
    </row>
    <row r="446" spans="2:10" x14ac:dyDescent="0.15">
      <c r="B446"/>
      <c r="C446"/>
      <c r="D446"/>
      <c r="E446"/>
      <c r="F446" s="7"/>
      <c r="G446" s="7"/>
      <c r="H446" s="7"/>
      <c r="I446" s="7"/>
      <c r="J446" s="7"/>
    </row>
    <row r="447" spans="2:10" x14ac:dyDescent="0.15">
      <c r="B447"/>
      <c r="C447"/>
      <c r="D447"/>
      <c r="E447"/>
      <c r="F447" s="7"/>
      <c r="G447" s="7"/>
      <c r="H447" s="7"/>
      <c r="I447" s="7"/>
      <c r="J447" s="7"/>
    </row>
    <row r="448" spans="2:10" x14ac:dyDescent="0.15">
      <c r="B448"/>
      <c r="C448"/>
      <c r="D448"/>
      <c r="E448"/>
      <c r="F448" s="7"/>
      <c r="G448" s="7"/>
      <c r="H448" s="7"/>
      <c r="I448" s="7"/>
      <c r="J448" s="7"/>
    </row>
    <row r="449" spans="2:10" x14ac:dyDescent="0.15">
      <c r="B449"/>
      <c r="C449"/>
      <c r="D449"/>
      <c r="E449"/>
      <c r="F449" s="7"/>
      <c r="G449" s="7"/>
      <c r="H449" s="7"/>
      <c r="I449" s="7"/>
      <c r="J449" s="7"/>
    </row>
    <row r="450" spans="2:10" x14ac:dyDescent="0.15">
      <c r="B450"/>
      <c r="C450"/>
      <c r="D450"/>
      <c r="E450"/>
      <c r="F450" s="7"/>
      <c r="G450" s="7"/>
      <c r="H450" s="7"/>
      <c r="I450" s="7"/>
      <c r="J450" s="7"/>
    </row>
    <row r="451" spans="2:10" x14ac:dyDescent="0.15">
      <c r="B451"/>
      <c r="C451"/>
      <c r="D451"/>
      <c r="E451"/>
      <c r="F451" s="7"/>
      <c r="G451" s="7"/>
      <c r="H451" s="7"/>
      <c r="I451" s="7"/>
      <c r="J451" s="7"/>
    </row>
    <row r="452" spans="2:10" x14ac:dyDescent="0.15">
      <c r="B452"/>
      <c r="C452"/>
      <c r="D452"/>
      <c r="E452"/>
      <c r="F452" s="7"/>
      <c r="G452" s="7"/>
      <c r="H452" s="7"/>
      <c r="I452" s="7"/>
      <c r="J452" s="7"/>
    </row>
    <row r="453" spans="2:10" x14ac:dyDescent="0.15">
      <c r="B453"/>
      <c r="C453"/>
      <c r="D453"/>
      <c r="E453"/>
      <c r="F453" s="7"/>
      <c r="G453" s="7"/>
      <c r="H453" s="7"/>
      <c r="I453" s="7"/>
      <c r="J453" s="7"/>
    </row>
    <row r="454" spans="2:10" x14ac:dyDescent="0.15">
      <c r="B454"/>
      <c r="C454"/>
      <c r="D454"/>
      <c r="E454"/>
      <c r="F454" s="7"/>
      <c r="G454" s="7"/>
      <c r="H454" s="7"/>
      <c r="I454" s="7"/>
      <c r="J454" s="7"/>
    </row>
    <row r="455" spans="2:10" x14ac:dyDescent="0.15">
      <c r="B455"/>
      <c r="C455"/>
      <c r="D455"/>
      <c r="E455"/>
      <c r="F455" s="7"/>
      <c r="G455" s="7"/>
      <c r="H455" s="7"/>
      <c r="I455" s="7"/>
      <c r="J455" s="7"/>
    </row>
    <row r="456" spans="2:10" x14ac:dyDescent="0.15">
      <c r="B456"/>
      <c r="C456"/>
      <c r="D456"/>
      <c r="E456"/>
      <c r="F456" s="7"/>
      <c r="G456" s="7"/>
      <c r="H456" s="7"/>
      <c r="I456" s="7"/>
      <c r="J456" s="7"/>
    </row>
    <row r="457" spans="2:10" x14ac:dyDescent="0.15">
      <c r="B457"/>
      <c r="C457"/>
      <c r="D457"/>
      <c r="E457"/>
      <c r="F457" s="7"/>
      <c r="G457" s="7"/>
      <c r="H457" s="7"/>
      <c r="I457" s="7"/>
      <c r="J457" s="7"/>
    </row>
    <row r="458" spans="2:10" x14ac:dyDescent="0.15">
      <c r="B458"/>
      <c r="C458"/>
      <c r="D458"/>
      <c r="E458"/>
      <c r="F458" s="7"/>
      <c r="G458" s="7"/>
      <c r="H458" s="7"/>
      <c r="I458" s="7"/>
      <c r="J458" s="7"/>
    </row>
    <row r="459" spans="2:10" x14ac:dyDescent="0.15">
      <c r="B459"/>
      <c r="C459"/>
      <c r="D459"/>
      <c r="E459"/>
      <c r="F459" s="7"/>
      <c r="G459" s="7"/>
      <c r="H459" s="7"/>
      <c r="I459" s="7"/>
      <c r="J459" s="7"/>
    </row>
    <row r="460" spans="2:10" x14ac:dyDescent="0.15">
      <c r="B460"/>
      <c r="C460"/>
      <c r="D460"/>
      <c r="E460"/>
      <c r="F460" s="7"/>
      <c r="G460" s="7"/>
      <c r="H460" s="7"/>
      <c r="I460" s="7"/>
      <c r="J460" s="7"/>
    </row>
    <row r="461" spans="2:10" x14ac:dyDescent="0.15">
      <c r="B461"/>
      <c r="C461"/>
      <c r="D461"/>
      <c r="E461"/>
      <c r="F461" s="7"/>
      <c r="G461" s="7"/>
      <c r="H461" s="7"/>
      <c r="I461" s="7"/>
      <c r="J461" s="7"/>
    </row>
    <row r="462" spans="2:10" x14ac:dyDescent="0.15">
      <c r="B462"/>
      <c r="C462"/>
      <c r="D462"/>
      <c r="E462"/>
      <c r="F462" s="7"/>
      <c r="G462" s="7"/>
      <c r="H462" s="7"/>
      <c r="I462" s="7"/>
      <c r="J462" s="7"/>
    </row>
    <row r="463" spans="2:10" x14ac:dyDescent="0.15">
      <c r="B463"/>
      <c r="C463"/>
      <c r="D463"/>
      <c r="E463"/>
      <c r="F463" s="7"/>
      <c r="G463" s="7"/>
      <c r="H463" s="7"/>
      <c r="I463" s="7"/>
      <c r="J463" s="7"/>
    </row>
    <row r="464" spans="2:10" x14ac:dyDescent="0.15">
      <c r="B464"/>
      <c r="C464"/>
      <c r="D464"/>
      <c r="E464"/>
      <c r="F464" s="7"/>
      <c r="G464" s="7"/>
      <c r="H464" s="7"/>
      <c r="I464" s="7"/>
      <c r="J464" s="7"/>
    </row>
    <row r="465" spans="2:10" x14ac:dyDescent="0.15">
      <c r="B465"/>
      <c r="C465"/>
      <c r="D465"/>
      <c r="E465"/>
      <c r="F465" s="7"/>
      <c r="G465" s="7"/>
      <c r="H465" s="7"/>
      <c r="I465" s="7"/>
      <c r="J465" s="7"/>
    </row>
    <row r="466" spans="2:10" x14ac:dyDescent="0.15">
      <c r="B466"/>
      <c r="C466"/>
      <c r="D466"/>
      <c r="E466"/>
      <c r="F466" s="7"/>
      <c r="G466" s="7"/>
      <c r="H466" s="7"/>
      <c r="I466" s="7"/>
      <c r="J466" s="7"/>
    </row>
    <row r="467" spans="2:10" x14ac:dyDescent="0.15">
      <c r="B467"/>
      <c r="C467"/>
      <c r="D467"/>
      <c r="E467"/>
      <c r="F467" s="7"/>
      <c r="G467" s="7"/>
      <c r="H467" s="7"/>
      <c r="I467" s="7"/>
      <c r="J467" s="7"/>
    </row>
    <row r="468" spans="2:10" x14ac:dyDescent="0.15">
      <c r="B468"/>
      <c r="C468"/>
      <c r="D468"/>
      <c r="E468"/>
      <c r="F468" s="7"/>
      <c r="G468" s="7"/>
      <c r="H468" s="7"/>
      <c r="I468" s="7"/>
      <c r="J468" s="7"/>
    </row>
    <row r="469" spans="2:10" x14ac:dyDescent="0.15">
      <c r="B469"/>
      <c r="C469"/>
      <c r="D469"/>
      <c r="E469"/>
      <c r="F469" s="7"/>
      <c r="G469" s="7"/>
      <c r="H469" s="7"/>
      <c r="I469" s="7"/>
      <c r="J469" s="7"/>
    </row>
    <row r="470" spans="2:10" x14ac:dyDescent="0.15">
      <c r="B470"/>
      <c r="C470"/>
      <c r="D470"/>
      <c r="E470"/>
      <c r="F470" s="7"/>
      <c r="G470" s="7"/>
      <c r="H470" s="7"/>
      <c r="I470" s="7"/>
      <c r="J470" s="7"/>
    </row>
    <row r="471" spans="2:10" x14ac:dyDescent="0.15">
      <c r="B471"/>
      <c r="C471"/>
      <c r="D471"/>
      <c r="E471"/>
      <c r="F471" s="7"/>
      <c r="G471" s="7"/>
      <c r="H471" s="7"/>
      <c r="I471" s="7"/>
      <c r="J471" s="7"/>
    </row>
    <row r="472" spans="2:10" x14ac:dyDescent="0.15">
      <c r="B472"/>
      <c r="C472"/>
      <c r="D472"/>
      <c r="E472"/>
      <c r="F472" s="7"/>
      <c r="G472" s="7"/>
      <c r="H472" s="7"/>
      <c r="I472" s="7"/>
      <c r="J472" s="7"/>
    </row>
    <row r="473" spans="2:10" x14ac:dyDescent="0.15">
      <c r="B473"/>
      <c r="C473"/>
      <c r="D473"/>
      <c r="E473"/>
      <c r="F473" s="7"/>
      <c r="G473" s="7"/>
      <c r="H473" s="7"/>
      <c r="I473" s="7"/>
      <c r="J473" s="7"/>
    </row>
    <row r="474" spans="2:10" x14ac:dyDescent="0.15">
      <c r="B474"/>
      <c r="C474"/>
      <c r="D474"/>
      <c r="E474"/>
      <c r="F474" s="7"/>
      <c r="G474" s="7"/>
      <c r="H474" s="7"/>
      <c r="I474" s="7"/>
      <c r="J474" s="7"/>
    </row>
    <row r="475" spans="2:10" x14ac:dyDescent="0.15">
      <c r="B475"/>
      <c r="C475"/>
      <c r="D475"/>
      <c r="E475"/>
      <c r="F475" s="7"/>
      <c r="G475" s="7"/>
      <c r="H475" s="7"/>
      <c r="I475" s="7"/>
      <c r="J475" s="7"/>
    </row>
    <row r="476" spans="2:10" x14ac:dyDescent="0.15">
      <c r="B476"/>
      <c r="C476"/>
      <c r="D476"/>
      <c r="E476"/>
      <c r="F476" s="7"/>
      <c r="G476" s="7"/>
      <c r="H476" s="7"/>
      <c r="I476" s="7"/>
      <c r="J476" s="7"/>
    </row>
    <row r="477" spans="2:10" x14ac:dyDescent="0.15">
      <c r="B477"/>
      <c r="C477"/>
      <c r="D477"/>
      <c r="E477"/>
      <c r="F477" s="7"/>
      <c r="G477" s="7"/>
      <c r="H477" s="7"/>
      <c r="I477" s="7"/>
      <c r="J477" s="7"/>
    </row>
    <row r="478" spans="2:10" x14ac:dyDescent="0.15">
      <c r="B478"/>
      <c r="C478"/>
      <c r="D478"/>
      <c r="E478"/>
      <c r="F478" s="7"/>
      <c r="G478" s="7"/>
      <c r="H478" s="7"/>
      <c r="I478" s="7"/>
      <c r="J478" s="7"/>
    </row>
    <row r="479" spans="2:10" x14ac:dyDescent="0.15">
      <c r="B479"/>
      <c r="C479"/>
      <c r="D479"/>
      <c r="E479"/>
      <c r="F479" s="7"/>
      <c r="G479" s="7"/>
      <c r="H479" s="7"/>
      <c r="I479" s="7"/>
      <c r="J479" s="7"/>
    </row>
    <row r="480" spans="2:10" x14ac:dyDescent="0.15">
      <c r="B480"/>
      <c r="C480"/>
      <c r="D480"/>
      <c r="E480"/>
      <c r="F480" s="7"/>
      <c r="G480" s="7"/>
      <c r="H480" s="7"/>
      <c r="I480" s="7"/>
      <c r="J480" s="7"/>
    </row>
    <row r="481" spans="2:10" x14ac:dyDescent="0.15">
      <c r="B481"/>
      <c r="C481"/>
      <c r="D481"/>
      <c r="E481"/>
      <c r="F481" s="7"/>
      <c r="G481" s="7"/>
      <c r="H481" s="7"/>
      <c r="I481" s="7"/>
      <c r="J481" s="7"/>
    </row>
    <row r="482" spans="2:10" x14ac:dyDescent="0.15">
      <c r="B482"/>
      <c r="C482"/>
      <c r="D482"/>
      <c r="E482"/>
      <c r="F482" s="7"/>
      <c r="G482" s="7"/>
      <c r="H482" s="7"/>
      <c r="I482" s="7"/>
      <c r="J482" s="7"/>
    </row>
    <row r="483" spans="2:10" x14ac:dyDescent="0.15">
      <c r="B483"/>
      <c r="C483"/>
      <c r="D483"/>
      <c r="E483"/>
      <c r="F483" s="7"/>
      <c r="G483" s="7"/>
      <c r="H483" s="7"/>
      <c r="I483" s="7"/>
      <c r="J483" s="7"/>
    </row>
    <row r="484" spans="2:10" x14ac:dyDescent="0.15">
      <c r="B484"/>
      <c r="C484"/>
      <c r="D484"/>
      <c r="E484"/>
      <c r="F484" s="7"/>
      <c r="G484" s="7"/>
      <c r="H484" s="7"/>
      <c r="I484" s="7"/>
      <c r="J484" s="7"/>
    </row>
    <row r="485" spans="2:10" x14ac:dyDescent="0.15">
      <c r="B485"/>
      <c r="C485"/>
      <c r="D485"/>
      <c r="E485"/>
      <c r="F485" s="7"/>
      <c r="G485" s="7"/>
      <c r="H485" s="7"/>
      <c r="I485" s="7"/>
      <c r="J485" s="7"/>
    </row>
    <row r="486" spans="2:10" x14ac:dyDescent="0.15">
      <c r="B486"/>
      <c r="C486"/>
      <c r="D486"/>
      <c r="E486"/>
      <c r="F486" s="7"/>
      <c r="G486" s="7"/>
      <c r="H486" s="7"/>
      <c r="I486" s="7"/>
      <c r="J486" s="7"/>
    </row>
    <row r="487" spans="2:10" x14ac:dyDescent="0.15">
      <c r="B487"/>
      <c r="C487"/>
      <c r="D487"/>
      <c r="E487"/>
      <c r="F487" s="7"/>
      <c r="G487" s="7"/>
      <c r="H487" s="7"/>
      <c r="I487" s="7"/>
      <c r="J487" s="7"/>
    </row>
    <row r="488" spans="2:10" x14ac:dyDescent="0.15">
      <c r="B488"/>
      <c r="C488"/>
      <c r="D488"/>
      <c r="E488"/>
      <c r="F488" s="7"/>
      <c r="G488" s="7"/>
      <c r="H488" s="7"/>
      <c r="I488" s="7"/>
      <c r="J488" s="7"/>
    </row>
    <row r="489" spans="2:10" x14ac:dyDescent="0.15">
      <c r="B489"/>
      <c r="C489"/>
      <c r="D489"/>
      <c r="E489"/>
      <c r="F489" s="7"/>
      <c r="G489" s="7"/>
      <c r="H489" s="7"/>
      <c r="I489" s="7"/>
      <c r="J489" s="7"/>
    </row>
    <row r="490" spans="2:10" x14ac:dyDescent="0.15">
      <c r="B490"/>
      <c r="C490"/>
      <c r="D490"/>
      <c r="E490"/>
      <c r="F490" s="7"/>
      <c r="G490" s="7"/>
      <c r="H490" s="7"/>
      <c r="I490" s="7"/>
      <c r="J490" s="7"/>
    </row>
    <row r="491" spans="2:10" x14ac:dyDescent="0.15">
      <c r="B491"/>
      <c r="C491"/>
      <c r="D491"/>
      <c r="E491"/>
      <c r="F491" s="7"/>
      <c r="G491" s="7"/>
      <c r="H491" s="7"/>
      <c r="I491" s="7"/>
      <c r="J491" s="7"/>
    </row>
    <row r="492" spans="2:10" x14ac:dyDescent="0.15">
      <c r="B492"/>
      <c r="C492"/>
      <c r="D492"/>
      <c r="E492"/>
      <c r="F492" s="7"/>
      <c r="G492" s="7"/>
      <c r="H492" s="7"/>
      <c r="I492" s="7"/>
      <c r="J492" s="7"/>
    </row>
    <row r="493" spans="2:10" x14ac:dyDescent="0.15">
      <c r="B493"/>
      <c r="C493"/>
      <c r="D493"/>
      <c r="E493"/>
      <c r="F493" s="7"/>
      <c r="G493" s="7"/>
      <c r="H493" s="7"/>
      <c r="I493" s="7"/>
      <c r="J493" s="7"/>
    </row>
    <row r="494" spans="2:10" x14ac:dyDescent="0.15">
      <c r="B494"/>
      <c r="C494"/>
      <c r="D494"/>
      <c r="E494"/>
      <c r="F494" s="7"/>
      <c r="G494" s="7"/>
      <c r="H494" s="7"/>
      <c r="I494" s="7"/>
      <c r="J494" s="7"/>
    </row>
    <row r="495" spans="2:10" x14ac:dyDescent="0.15">
      <c r="B495"/>
      <c r="C495"/>
      <c r="D495"/>
      <c r="E495"/>
      <c r="F495" s="7"/>
      <c r="G495" s="7"/>
      <c r="H495" s="7"/>
      <c r="I495" s="7"/>
      <c r="J495" s="7"/>
    </row>
    <row r="496" spans="2:10" x14ac:dyDescent="0.15">
      <c r="B496"/>
      <c r="C496"/>
      <c r="D496"/>
      <c r="E496"/>
      <c r="F496" s="7"/>
      <c r="G496" s="7"/>
      <c r="H496" s="7"/>
      <c r="I496" s="7"/>
      <c r="J496" s="7"/>
    </row>
    <row r="497" spans="2:10" x14ac:dyDescent="0.15">
      <c r="B497"/>
      <c r="C497"/>
      <c r="D497"/>
      <c r="E497"/>
      <c r="F497" s="7"/>
      <c r="G497" s="7"/>
      <c r="H497" s="7"/>
      <c r="I497" s="7"/>
      <c r="J497" s="7"/>
    </row>
    <row r="498" spans="2:10" x14ac:dyDescent="0.15">
      <c r="B498"/>
      <c r="C498"/>
      <c r="D498"/>
      <c r="E498"/>
      <c r="F498" s="7"/>
      <c r="G498" s="7"/>
      <c r="H498" s="7"/>
      <c r="I498" s="7"/>
      <c r="J498" s="7"/>
    </row>
    <row r="499" spans="2:10" x14ac:dyDescent="0.15">
      <c r="B499"/>
      <c r="C499"/>
      <c r="D499"/>
      <c r="E499"/>
      <c r="F499" s="7"/>
      <c r="G499" s="7"/>
      <c r="H499" s="7"/>
      <c r="I499" s="7"/>
      <c r="J499" s="7"/>
    </row>
    <row r="500" spans="2:10" x14ac:dyDescent="0.15">
      <c r="B500"/>
      <c r="C500"/>
      <c r="D500"/>
      <c r="E500"/>
      <c r="F500" s="7"/>
      <c r="G500" s="7"/>
      <c r="H500" s="7"/>
      <c r="I500" s="7"/>
      <c r="J500" s="7"/>
    </row>
    <row r="501" spans="2:10" x14ac:dyDescent="0.15">
      <c r="B501"/>
      <c r="C501"/>
      <c r="D501"/>
      <c r="E501"/>
      <c r="F501" s="7"/>
      <c r="G501" s="7"/>
      <c r="H501" s="7"/>
      <c r="I501" s="7"/>
      <c r="J501" s="7"/>
    </row>
    <row r="502" spans="2:10" x14ac:dyDescent="0.15">
      <c r="B502"/>
      <c r="C502"/>
      <c r="D502"/>
      <c r="E502"/>
      <c r="F502" s="7"/>
      <c r="G502" s="7"/>
      <c r="H502" s="7"/>
      <c r="I502" s="7"/>
      <c r="J502" s="7"/>
    </row>
    <row r="503" spans="2:10" x14ac:dyDescent="0.15">
      <c r="B503"/>
      <c r="C503"/>
      <c r="D503"/>
      <c r="E503"/>
      <c r="F503" s="7"/>
      <c r="G503" s="7"/>
      <c r="H503" s="7"/>
      <c r="I503" s="7"/>
      <c r="J503" s="7"/>
    </row>
    <row r="504" spans="2:10" x14ac:dyDescent="0.15">
      <c r="B504"/>
      <c r="C504"/>
      <c r="D504"/>
      <c r="E504"/>
      <c r="F504" s="7"/>
      <c r="G504" s="7"/>
      <c r="H504" s="7"/>
      <c r="I504" s="7"/>
      <c r="J504" s="7"/>
    </row>
    <row r="505" spans="2:10" x14ac:dyDescent="0.15">
      <c r="B505"/>
      <c r="C505"/>
      <c r="D505"/>
      <c r="E505"/>
      <c r="F505" s="7"/>
      <c r="G505" s="7"/>
      <c r="H505" s="7"/>
      <c r="I505" s="7"/>
      <c r="J505" s="7"/>
    </row>
    <row r="506" spans="2:10" x14ac:dyDescent="0.15">
      <c r="B506"/>
      <c r="C506"/>
      <c r="D506"/>
      <c r="E506"/>
      <c r="F506" s="7"/>
      <c r="G506" s="7"/>
      <c r="H506" s="7"/>
      <c r="I506" s="7"/>
      <c r="J506" s="7"/>
    </row>
    <row r="507" spans="2:10" x14ac:dyDescent="0.15">
      <c r="B507"/>
      <c r="C507"/>
      <c r="D507"/>
      <c r="E507"/>
      <c r="F507" s="7"/>
      <c r="G507" s="7"/>
      <c r="H507" s="7"/>
      <c r="I507" s="7"/>
      <c r="J507" s="7"/>
    </row>
    <row r="508" spans="2:10" x14ac:dyDescent="0.15">
      <c r="B508"/>
      <c r="C508"/>
      <c r="D508"/>
      <c r="E508"/>
      <c r="F508" s="7"/>
      <c r="G508" s="7"/>
      <c r="H508" s="7"/>
      <c r="I508" s="7"/>
      <c r="J508" s="7"/>
    </row>
    <row r="509" spans="2:10" x14ac:dyDescent="0.15">
      <c r="B509"/>
      <c r="C509"/>
      <c r="D509"/>
      <c r="E509"/>
      <c r="F509" s="7"/>
      <c r="G509" s="7"/>
      <c r="H509" s="7"/>
      <c r="I509" s="7"/>
      <c r="J509" s="7"/>
    </row>
    <row r="510" spans="2:10" x14ac:dyDescent="0.15">
      <c r="B510"/>
      <c r="C510"/>
      <c r="D510"/>
      <c r="E510"/>
      <c r="F510" s="7"/>
      <c r="G510" s="7"/>
      <c r="H510" s="7"/>
      <c r="I510" s="7"/>
      <c r="J510" s="7"/>
    </row>
    <row r="511" spans="2:10" x14ac:dyDescent="0.15">
      <c r="B511"/>
      <c r="C511"/>
      <c r="D511"/>
      <c r="E511"/>
      <c r="F511" s="7"/>
      <c r="G511" s="7"/>
      <c r="H511" s="7"/>
      <c r="I511" s="7"/>
      <c r="J511" s="7"/>
    </row>
    <row r="512" spans="2:10" x14ac:dyDescent="0.15">
      <c r="B512"/>
      <c r="C512"/>
      <c r="D512"/>
      <c r="E512"/>
      <c r="F512" s="7"/>
      <c r="G512" s="7"/>
      <c r="H512" s="7"/>
      <c r="I512" s="7"/>
      <c r="J512" s="7"/>
    </row>
    <row r="513" spans="2:10" x14ac:dyDescent="0.15">
      <c r="B513"/>
      <c r="C513"/>
      <c r="D513"/>
      <c r="E513"/>
      <c r="F513" s="7"/>
      <c r="G513" s="7"/>
      <c r="H513" s="7"/>
      <c r="I513" s="7"/>
      <c r="J513" s="7"/>
    </row>
    <row r="514" spans="2:10" x14ac:dyDescent="0.15">
      <c r="B514"/>
      <c r="C514"/>
      <c r="D514"/>
      <c r="E514"/>
      <c r="F514" s="7"/>
      <c r="G514" s="7"/>
      <c r="H514" s="7"/>
      <c r="I514" s="7"/>
      <c r="J514" s="7"/>
    </row>
    <row r="515" spans="2:10" x14ac:dyDescent="0.15">
      <c r="B515"/>
      <c r="C515"/>
      <c r="D515"/>
      <c r="E515"/>
      <c r="F515" s="7"/>
      <c r="G515" s="7"/>
      <c r="H515" s="7"/>
      <c r="I515" s="7"/>
      <c r="J515" s="7"/>
    </row>
    <row r="516" spans="2:10" x14ac:dyDescent="0.15">
      <c r="B516"/>
      <c r="C516"/>
      <c r="D516"/>
      <c r="E516"/>
      <c r="F516" s="7"/>
      <c r="G516" s="7"/>
      <c r="H516" s="7"/>
      <c r="I516" s="7"/>
      <c r="J516" s="7"/>
    </row>
    <row r="517" spans="2:10" x14ac:dyDescent="0.15">
      <c r="B517"/>
      <c r="C517"/>
      <c r="D517"/>
      <c r="E517"/>
      <c r="F517" s="7"/>
      <c r="G517" s="7"/>
      <c r="H517" s="7"/>
      <c r="I517" s="7"/>
      <c r="J517" s="7"/>
    </row>
    <row r="518" spans="2:10" x14ac:dyDescent="0.15">
      <c r="B518"/>
      <c r="C518"/>
      <c r="D518"/>
      <c r="E518"/>
      <c r="F518" s="7"/>
      <c r="G518" s="7"/>
      <c r="H518" s="7"/>
      <c r="I518" s="7"/>
      <c r="J518" s="7"/>
    </row>
    <row r="519" spans="2:10" x14ac:dyDescent="0.15">
      <c r="B519"/>
      <c r="C519"/>
      <c r="D519"/>
      <c r="E519"/>
      <c r="F519" s="7"/>
      <c r="G519" s="7"/>
      <c r="H519" s="7"/>
      <c r="I519" s="7"/>
      <c r="J519" s="7"/>
    </row>
    <row r="520" spans="2:10" x14ac:dyDescent="0.15">
      <c r="B520"/>
      <c r="C520"/>
      <c r="D520"/>
      <c r="E520"/>
      <c r="F520" s="7"/>
      <c r="G520" s="7"/>
      <c r="H520" s="7"/>
      <c r="I520" s="7"/>
      <c r="J520" s="7"/>
    </row>
    <row r="521" spans="2:10" x14ac:dyDescent="0.15">
      <c r="B521"/>
      <c r="C521"/>
      <c r="D521"/>
      <c r="E521"/>
      <c r="F521" s="7"/>
      <c r="G521" s="7"/>
      <c r="H521" s="7"/>
      <c r="I521" s="7"/>
      <c r="J521" s="7"/>
    </row>
    <row r="522" spans="2:10" x14ac:dyDescent="0.15">
      <c r="B522"/>
      <c r="C522"/>
      <c r="D522"/>
      <c r="E522"/>
      <c r="F522" s="7"/>
      <c r="G522" s="7"/>
      <c r="H522" s="7"/>
      <c r="I522" s="7"/>
      <c r="J522" s="7"/>
    </row>
    <row r="523" spans="2:10" x14ac:dyDescent="0.15">
      <c r="B523"/>
      <c r="C523"/>
      <c r="D523"/>
      <c r="E523"/>
      <c r="F523" s="7"/>
      <c r="G523" s="7"/>
      <c r="H523" s="7"/>
      <c r="I523" s="7"/>
      <c r="J523" s="7"/>
    </row>
    <row r="524" spans="2:10" x14ac:dyDescent="0.15">
      <c r="B524"/>
      <c r="C524"/>
      <c r="D524"/>
      <c r="E524"/>
      <c r="F524" s="7"/>
      <c r="G524" s="7"/>
      <c r="H524" s="7"/>
      <c r="I524" s="7"/>
      <c r="J524" s="7"/>
    </row>
    <row r="525" spans="2:10" x14ac:dyDescent="0.15">
      <c r="B525"/>
      <c r="C525"/>
      <c r="D525"/>
      <c r="E525"/>
      <c r="F525" s="7"/>
      <c r="G525" s="7"/>
      <c r="H525" s="7"/>
      <c r="I525" s="7"/>
      <c r="J525" s="7"/>
    </row>
    <row r="526" spans="2:10" x14ac:dyDescent="0.15">
      <c r="B526"/>
      <c r="C526"/>
      <c r="D526"/>
      <c r="E526"/>
      <c r="F526" s="7"/>
      <c r="G526" s="7"/>
      <c r="H526" s="7"/>
      <c r="I526" s="7"/>
      <c r="J526" s="7"/>
    </row>
    <row r="527" spans="2:10" x14ac:dyDescent="0.15">
      <c r="B527"/>
      <c r="C527"/>
      <c r="D527"/>
      <c r="E527"/>
      <c r="F527" s="7"/>
      <c r="G527" s="7"/>
      <c r="H527" s="7"/>
      <c r="I527" s="7"/>
      <c r="J527" s="7"/>
    </row>
    <row r="528" spans="2:10" x14ac:dyDescent="0.15">
      <c r="B528"/>
      <c r="C528"/>
      <c r="D528"/>
      <c r="E528"/>
      <c r="F528" s="7"/>
      <c r="G528" s="7"/>
      <c r="H528" s="7"/>
      <c r="I528" s="7"/>
      <c r="J528" s="7"/>
    </row>
    <row r="529" spans="2:10" x14ac:dyDescent="0.15">
      <c r="B529"/>
      <c r="C529"/>
      <c r="D529"/>
      <c r="E529"/>
      <c r="F529" s="7"/>
      <c r="G529" s="7"/>
      <c r="H529" s="7"/>
      <c r="I529" s="7"/>
      <c r="J529" s="7"/>
    </row>
    <row r="530" spans="2:10" x14ac:dyDescent="0.15">
      <c r="B530"/>
      <c r="C530"/>
      <c r="D530"/>
      <c r="E530"/>
      <c r="F530" s="7"/>
      <c r="G530" s="7"/>
      <c r="H530" s="7"/>
      <c r="I530" s="7"/>
      <c r="J530" s="7"/>
    </row>
    <row r="531" spans="2:10" x14ac:dyDescent="0.15">
      <c r="B531"/>
      <c r="C531"/>
      <c r="D531"/>
      <c r="E531"/>
      <c r="F531" s="7"/>
      <c r="G531" s="7"/>
      <c r="H531" s="7"/>
      <c r="I531" s="7"/>
      <c r="J531" s="7"/>
    </row>
    <row r="532" spans="2:10" x14ac:dyDescent="0.15">
      <c r="B532"/>
      <c r="C532"/>
      <c r="D532"/>
      <c r="E532"/>
      <c r="F532" s="7"/>
      <c r="G532" s="7"/>
      <c r="H532" s="7"/>
      <c r="I532" s="7"/>
      <c r="J532" s="7"/>
    </row>
    <row r="533" spans="2:10" x14ac:dyDescent="0.15">
      <c r="B533"/>
      <c r="C533"/>
      <c r="D533"/>
      <c r="E533"/>
      <c r="F533" s="7"/>
      <c r="G533" s="7"/>
      <c r="H533" s="7"/>
      <c r="I533" s="7"/>
      <c r="J533" s="7"/>
    </row>
    <row r="534" spans="2:10" x14ac:dyDescent="0.15">
      <c r="B534"/>
      <c r="C534"/>
      <c r="D534"/>
      <c r="E534"/>
      <c r="F534" s="7"/>
      <c r="G534" s="7"/>
      <c r="H534" s="7"/>
      <c r="I534" s="7"/>
      <c r="J534" s="7"/>
    </row>
    <row r="535" spans="2:10" x14ac:dyDescent="0.15">
      <c r="B535"/>
      <c r="C535"/>
      <c r="D535"/>
      <c r="E535"/>
      <c r="F535" s="7"/>
      <c r="G535" s="7"/>
      <c r="H535" s="7"/>
      <c r="I535" s="7"/>
      <c r="J535" s="7"/>
    </row>
    <row r="536" spans="2:10" x14ac:dyDescent="0.15">
      <c r="B536"/>
      <c r="C536"/>
      <c r="D536"/>
      <c r="E536"/>
      <c r="F536" s="7"/>
      <c r="G536" s="7"/>
      <c r="H536" s="7"/>
      <c r="I536" s="7"/>
      <c r="J536" s="7"/>
    </row>
    <row r="537" spans="2:10" x14ac:dyDescent="0.15">
      <c r="B537"/>
      <c r="C537"/>
      <c r="D537"/>
      <c r="E537"/>
      <c r="F537" s="7"/>
      <c r="G537" s="7"/>
      <c r="H537" s="7"/>
      <c r="I537" s="7"/>
      <c r="J537" s="7"/>
    </row>
    <row r="538" spans="2:10" x14ac:dyDescent="0.15">
      <c r="B538"/>
      <c r="C538"/>
      <c r="D538"/>
      <c r="E538"/>
      <c r="F538" s="7"/>
      <c r="G538" s="7"/>
      <c r="H538" s="7"/>
      <c r="I538" s="7"/>
      <c r="J538" s="7"/>
    </row>
    <row r="539" spans="2:10" x14ac:dyDescent="0.15">
      <c r="B539"/>
      <c r="C539"/>
      <c r="D539"/>
      <c r="E539"/>
      <c r="F539" s="7"/>
      <c r="G539" s="7"/>
      <c r="H539" s="7"/>
      <c r="I539" s="7"/>
      <c r="J539" s="7"/>
    </row>
    <row r="540" spans="2:10" x14ac:dyDescent="0.15">
      <c r="B540"/>
      <c r="C540"/>
      <c r="D540"/>
      <c r="E540"/>
      <c r="F540" s="7"/>
      <c r="G540" s="7"/>
      <c r="H540" s="7"/>
      <c r="I540" s="7"/>
      <c r="J540" s="7"/>
    </row>
    <row r="541" spans="2:10" x14ac:dyDescent="0.15">
      <c r="B541"/>
      <c r="C541"/>
      <c r="D541"/>
      <c r="E541"/>
      <c r="F541" s="7"/>
      <c r="G541" s="7"/>
      <c r="H541" s="7"/>
      <c r="I541" s="7"/>
      <c r="J541" s="7"/>
    </row>
    <row r="542" spans="2:10" x14ac:dyDescent="0.15">
      <c r="B542"/>
      <c r="C542"/>
      <c r="D542"/>
      <c r="E542"/>
      <c r="F542" s="7"/>
      <c r="G542" s="7"/>
      <c r="H542" s="7"/>
      <c r="I542" s="7"/>
      <c r="J542" s="7"/>
    </row>
    <row r="543" spans="2:10" x14ac:dyDescent="0.15">
      <c r="B543"/>
      <c r="C543"/>
      <c r="D543"/>
      <c r="E543"/>
      <c r="F543" s="7"/>
      <c r="G543" s="7"/>
      <c r="H543" s="7"/>
      <c r="I543" s="7"/>
      <c r="J543" s="7"/>
    </row>
    <row r="544" spans="2:10" x14ac:dyDescent="0.15">
      <c r="B544"/>
      <c r="C544"/>
      <c r="D544"/>
      <c r="E544"/>
      <c r="F544" s="7"/>
      <c r="G544" s="7"/>
      <c r="H544" s="7"/>
      <c r="I544" s="7"/>
      <c r="J544" s="7"/>
    </row>
    <row r="545" spans="2:10" x14ac:dyDescent="0.15">
      <c r="B545"/>
      <c r="C545"/>
      <c r="D545"/>
      <c r="E545"/>
      <c r="F545" s="7"/>
      <c r="G545" s="7"/>
      <c r="H545" s="7"/>
      <c r="I545" s="7"/>
      <c r="J545" s="7"/>
    </row>
    <row r="546" spans="2:10" x14ac:dyDescent="0.15">
      <c r="B546"/>
      <c r="C546"/>
      <c r="D546"/>
      <c r="E546"/>
      <c r="F546" s="7"/>
      <c r="G546" s="7"/>
      <c r="H546" s="7"/>
      <c r="I546" s="7"/>
      <c r="J546" s="7"/>
    </row>
    <row r="547" spans="2:10" x14ac:dyDescent="0.15">
      <c r="B547"/>
      <c r="C547"/>
      <c r="D547"/>
      <c r="E547"/>
      <c r="F547" s="7"/>
      <c r="G547" s="7"/>
      <c r="H547" s="7"/>
      <c r="I547" s="7"/>
      <c r="J547" s="7"/>
    </row>
    <row r="548" spans="2:10" x14ac:dyDescent="0.15">
      <c r="B548"/>
      <c r="C548"/>
      <c r="D548"/>
      <c r="E548"/>
      <c r="F548" s="7"/>
      <c r="G548" s="7"/>
      <c r="H548" s="7"/>
      <c r="I548" s="7"/>
      <c r="J548" s="7"/>
    </row>
    <row r="549" spans="2:10" x14ac:dyDescent="0.15">
      <c r="B549"/>
      <c r="C549"/>
      <c r="D549"/>
      <c r="E549"/>
      <c r="F549" s="7"/>
      <c r="G549" s="7"/>
      <c r="H549" s="7"/>
      <c r="I549" s="7"/>
      <c r="J549" s="7"/>
    </row>
    <row r="550" spans="2:10" x14ac:dyDescent="0.15">
      <c r="B550"/>
      <c r="C550"/>
      <c r="D550"/>
      <c r="E550"/>
      <c r="F550" s="7"/>
      <c r="G550" s="7"/>
      <c r="H550" s="7"/>
      <c r="I550" s="7"/>
      <c r="J550" s="7"/>
    </row>
    <row r="551" spans="2:10" x14ac:dyDescent="0.15">
      <c r="B551"/>
      <c r="C551"/>
      <c r="D551"/>
      <c r="E551"/>
      <c r="F551" s="7"/>
      <c r="G551" s="7"/>
      <c r="H551" s="7"/>
      <c r="I551" s="7"/>
      <c r="J551" s="7"/>
    </row>
    <row r="552" spans="2:10" x14ac:dyDescent="0.15">
      <c r="B552"/>
      <c r="C552"/>
      <c r="D552"/>
      <c r="E552"/>
      <c r="F552" s="7"/>
      <c r="G552" s="7"/>
      <c r="H552" s="7"/>
      <c r="I552" s="7"/>
      <c r="J552" s="7"/>
    </row>
    <row r="553" spans="2:10" x14ac:dyDescent="0.15">
      <c r="B553"/>
      <c r="C553"/>
      <c r="D553"/>
      <c r="E553"/>
      <c r="F553" s="7"/>
      <c r="G553" s="7"/>
      <c r="H553" s="7"/>
      <c r="I553" s="7"/>
      <c r="J553" s="7"/>
    </row>
    <row r="554" spans="2:10" x14ac:dyDescent="0.15">
      <c r="B554"/>
      <c r="C554"/>
      <c r="D554"/>
      <c r="E554"/>
      <c r="F554" s="7"/>
      <c r="G554" s="7"/>
      <c r="H554" s="7"/>
      <c r="I554" s="7"/>
      <c r="J554" s="7"/>
    </row>
    <row r="555" spans="2:10" x14ac:dyDescent="0.15">
      <c r="B555"/>
      <c r="C555"/>
      <c r="D555"/>
      <c r="E555"/>
      <c r="F555" s="7"/>
      <c r="G555" s="7"/>
      <c r="H555" s="7"/>
      <c r="I555" s="7"/>
      <c r="J555" s="7"/>
    </row>
    <row r="556" spans="2:10" x14ac:dyDescent="0.15">
      <c r="B556"/>
      <c r="C556"/>
      <c r="D556"/>
      <c r="E556"/>
      <c r="F556" s="7"/>
      <c r="G556" s="7"/>
      <c r="H556" s="7"/>
      <c r="I556" s="7"/>
      <c r="J556" s="7"/>
    </row>
    <row r="557" spans="2:10" x14ac:dyDescent="0.15">
      <c r="B557"/>
      <c r="C557"/>
      <c r="D557"/>
      <c r="E557"/>
      <c r="F557" s="7"/>
      <c r="G557" s="7"/>
      <c r="H557" s="7"/>
      <c r="I557" s="7"/>
      <c r="J557" s="7"/>
    </row>
    <row r="558" spans="2:10" x14ac:dyDescent="0.15">
      <c r="B558"/>
      <c r="C558"/>
      <c r="D558"/>
      <c r="E558"/>
      <c r="F558" s="7"/>
      <c r="G558" s="7"/>
      <c r="H558" s="7"/>
      <c r="I558" s="7"/>
      <c r="J558" s="7"/>
    </row>
    <row r="559" spans="2:10" x14ac:dyDescent="0.15">
      <c r="B559"/>
      <c r="C559"/>
      <c r="D559"/>
      <c r="E559"/>
      <c r="F559" s="7"/>
      <c r="G559" s="7"/>
      <c r="H559" s="7"/>
      <c r="I559" s="7"/>
      <c r="J559" s="7"/>
    </row>
    <row r="560" spans="2:10" x14ac:dyDescent="0.15">
      <c r="B560"/>
      <c r="C560"/>
      <c r="D560"/>
      <c r="E560"/>
      <c r="F560" s="7"/>
      <c r="G560" s="7"/>
      <c r="H560" s="7"/>
      <c r="I560" s="7"/>
      <c r="J560" s="7"/>
    </row>
    <row r="561" spans="2:10" x14ac:dyDescent="0.15">
      <c r="B561"/>
      <c r="C561"/>
      <c r="D561"/>
      <c r="E561"/>
      <c r="F561" s="7"/>
      <c r="G561" s="7"/>
      <c r="H561" s="7"/>
      <c r="I561" s="7"/>
      <c r="J561" s="7"/>
    </row>
    <row r="562" spans="2:10" x14ac:dyDescent="0.15">
      <c r="B562"/>
      <c r="C562"/>
      <c r="D562"/>
      <c r="E562"/>
      <c r="F562" s="7"/>
      <c r="G562" s="7"/>
      <c r="H562" s="7"/>
      <c r="I562" s="7"/>
      <c r="J562" s="7"/>
    </row>
    <row r="563" spans="2:10" x14ac:dyDescent="0.15">
      <c r="B563"/>
      <c r="C563"/>
      <c r="D563"/>
      <c r="E563"/>
      <c r="F563" s="7"/>
      <c r="G563" s="7"/>
      <c r="H563" s="7"/>
      <c r="I563" s="7"/>
      <c r="J563" s="7"/>
    </row>
    <row r="564" spans="2:10" x14ac:dyDescent="0.15">
      <c r="B564"/>
      <c r="C564"/>
      <c r="D564"/>
      <c r="E564"/>
      <c r="F564" s="7"/>
      <c r="G564" s="7"/>
      <c r="H564" s="7"/>
      <c r="I564" s="7"/>
      <c r="J564" s="7"/>
    </row>
    <row r="565" spans="2:10" x14ac:dyDescent="0.15">
      <c r="B565"/>
      <c r="C565"/>
      <c r="D565"/>
      <c r="E565"/>
      <c r="F565" s="7"/>
      <c r="G565" s="7"/>
      <c r="H565" s="7"/>
      <c r="I565" s="7"/>
      <c r="J565" s="7"/>
    </row>
    <row r="566" spans="2:10" x14ac:dyDescent="0.15">
      <c r="B566"/>
      <c r="C566"/>
      <c r="D566"/>
      <c r="E566"/>
      <c r="F566" s="7"/>
      <c r="G566" s="7"/>
      <c r="H566" s="7"/>
      <c r="I566" s="7"/>
      <c r="J566" s="7"/>
    </row>
    <row r="567" spans="2:10" x14ac:dyDescent="0.15">
      <c r="B567"/>
      <c r="C567"/>
      <c r="D567"/>
      <c r="E567"/>
      <c r="F567" s="7"/>
      <c r="G567" s="7"/>
      <c r="H567" s="7"/>
      <c r="I567" s="7"/>
      <c r="J567" s="7"/>
    </row>
    <row r="568" spans="2:10" x14ac:dyDescent="0.15">
      <c r="B568"/>
      <c r="C568"/>
      <c r="D568"/>
      <c r="E568"/>
      <c r="F568" s="7"/>
      <c r="G568" s="7"/>
      <c r="H568" s="7"/>
      <c r="I568" s="7"/>
      <c r="J568" s="7"/>
    </row>
    <row r="569" spans="2:10" x14ac:dyDescent="0.15">
      <c r="B569"/>
      <c r="C569"/>
      <c r="D569"/>
      <c r="E569"/>
      <c r="F569" s="7"/>
      <c r="G569" s="7"/>
      <c r="H569" s="7"/>
      <c r="I569" s="7"/>
      <c r="J569" s="7"/>
    </row>
    <row r="570" spans="2:10" x14ac:dyDescent="0.15">
      <c r="B570"/>
      <c r="C570"/>
      <c r="D570"/>
      <c r="E570"/>
      <c r="F570" s="7"/>
      <c r="G570" s="7"/>
      <c r="H570" s="7"/>
      <c r="I570" s="7"/>
      <c r="J570" s="7"/>
    </row>
    <row r="571" spans="2:10" x14ac:dyDescent="0.15">
      <c r="B571"/>
      <c r="C571"/>
      <c r="D571"/>
      <c r="E571"/>
      <c r="F571" s="7"/>
      <c r="G571" s="7"/>
      <c r="H571" s="7"/>
      <c r="I571" s="7"/>
      <c r="J571" s="7"/>
    </row>
    <row r="572" spans="2:10" x14ac:dyDescent="0.15">
      <c r="B572"/>
      <c r="C572"/>
      <c r="D572"/>
      <c r="E572"/>
      <c r="F572" s="7"/>
      <c r="G572" s="7"/>
      <c r="H572" s="7"/>
      <c r="I572" s="7"/>
      <c r="J572" s="7"/>
    </row>
    <row r="573" spans="2:10" x14ac:dyDescent="0.15">
      <c r="B573"/>
      <c r="C573"/>
      <c r="D573"/>
      <c r="E573"/>
      <c r="F573" s="7"/>
      <c r="G573" s="7"/>
      <c r="H573" s="7"/>
      <c r="I573" s="7"/>
      <c r="J573" s="7"/>
    </row>
    <row r="574" spans="2:10" x14ac:dyDescent="0.15">
      <c r="B574"/>
      <c r="C574"/>
      <c r="D574"/>
      <c r="E574"/>
      <c r="F574" s="7"/>
      <c r="G574" s="7"/>
      <c r="H574" s="7"/>
      <c r="I574" s="7"/>
      <c r="J574" s="7"/>
    </row>
    <row r="575" spans="2:10" x14ac:dyDescent="0.15">
      <c r="B575"/>
      <c r="C575"/>
      <c r="D575"/>
      <c r="E575"/>
      <c r="F575" s="7"/>
      <c r="G575" s="7"/>
      <c r="H575" s="7"/>
      <c r="I575" s="7"/>
      <c r="J575" s="7"/>
    </row>
    <row r="576" spans="2:10" x14ac:dyDescent="0.15">
      <c r="B576"/>
      <c r="C576"/>
      <c r="D576"/>
      <c r="E576"/>
      <c r="F576" s="7"/>
      <c r="G576" s="7"/>
      <c r="H576" s="7"/>
      <c r="I576" s="7"/>
      <c r="J576" s="7"/>
    </row>
    <row r="577" spans="2:10" x14ac:dyDescent="0.15">
      <c r="B577"/>
      <c r="C577"/>
      <c r="D577"/>
      <c r="E577"/>
      <c r="F577" s="7"/>
      <c r="G577" s="7"/>
      <c r="H577" s="7"/>
      <c r="I577" s="7"/>
      <c r="J577" s="7"/>
    </row>
    <row r="578" spans="2:10" x14ac:dyDescent="0.15">
      <c r="B578"/>
      <c r="C578"/>
      <c r="D578"/>
      <c r="E578"/>
      <c r="F578" s="7"/>
      <c r="G578" s="7"/>
      <c r="H578" s="7"/>
      <c r="I578" s="7"/>
      <c r="J578" s="7"/>
    </row>
    <row r="579" spans="2:10" x14ac:dyDescent="0.15">
      <c r="B579"/>
      <c r="C579"/>
      <c r="D579"/>
      <c r="E579"/>
      <c r="F579" s="7"/>
      <c r="G579" s="7"/>
      <c r="H579" s="7"/>
      <c r="I579" s="7"/>
      <c r="J579" s="7"/>
    </row>
    <row r="580" spans="2:10" x14ac:dyDescent="0.15">
      <c r="B580"/>
      <c r="C580"/>
      <c r="D580"/>
      <c r="E580"/>
      <c r="F580" s="7"/>
      <c r="G580" s="7"/>
      <c r="H580" s="7"/>
      <c r="I580" s="7"/>
      <c r="J580" s="7"/>
    </row>
    <row r="581" spans="2:10" x14ac:dyDescent="0.15">
      <c r="B581"/>
      <c r="C581"/>
      <c r="D581"/>
      <c r="E581"/>
      <c r="F581" s="7"/>
      <c r="G581" s="7"/>
      <c r="H581" s="7"/>
      <c r="I581" s="7"/>
      <c r="J581" s="7"/>
    </row>
    <row r="582" spans="2:10" x14ac:dyDescent="0.15">
      <c r="B582"/>
      <c r="C582"/>
      <c r="D582"/>
      <c r="E582"/>
      <c r="F582" s="7"/>
      <c r="G582" s="7"/>
      <c r="H582" s="7"/>
      <c r="I582" s="7"/>
      <c r="J582" s="7"/>
    </row>
    <row r="583" spans="2:10" x14ac:dyDescent="0.15">
      <c r="B583"/>
      <c r="C583"/>
      <c r="D583"/>
      <c r="E583"/>
      <c r="F583" s="7"/>
      <c r="G583" s="7"/>
      <c r="H583" s="7"/>
      <c r="I583" s="7"/>
      <c r="J583" s="7"/>
    </row>
    <row r="584" spans="2:10" x14ac:dyDescent="0.15">
      <c r="B584"/>
      <c r="C584"/>
      <c r="D584"/>
      <c r="E584"/>
      <c r="F584" s="7"/>
      <c r="G584" s="7"/>
      <c r="H584" s="7"/>
      <c r="I584" s="7"/>
      <c r="J584" s="7"/>
    </row>
    <row r="585" spans="2:10" x14ac:dyDescent="0.15">
      <c r="B585"/>
      <c r="C585"/>
      <c r="D585"/>
      <c r="E585"/>
      <c r="F585" s="7"/>
      <c r="G585" s="7"/>
      <c r="H585" s="7"/>
      <c r="I585" s="7"/>
      <c r="J585" s="7"/>
    </row>
    <row r="586" spans="2:10" x14ac:dyDescent="0.15">
      <c r="B586"/>
      <c r="C586"/>
      <c r="D586"/>
      <c r="E586"/>
      <c r="F586" s="7"/>
      <c r="G586" s="7"/>
      <c r="H586" s="7"/>
      <c r="I586" s="7"/>
      <c r="J586" s="7"/>
    </row>
    <row r="587" spans="2:10" x14ac:dyDescent="0.15">
      <c r="B587"/>
      <c r="C587"/>
      <c r="D587"/>
      <c r="E587"/>
      <c r="F587" s="7"/>
      <c r="G587" s="7"/>
      <c r="H587" s="7"/>
      <c r="I587" s="7"/>
      <c r="J587" s="7"/>
    </row>
    <row r="588" spans="2:10" x14ac:dyDescent="0.15">
      <c r="B588"/>
      <c r="C588"/>
      <c r="D588"/>
      <c r="E588"/>
      <c r="F588" s="7"/>
      <c r="G588" s="7"/>
      <c r="H588" s="7"/>
      <c r="I588" s="7"/>
      <c r="J588" s="7"/>
    </row>
    <row r="589" spans="2:10" x14ac:dyDescent="0.15">
      <c r="B589"/>
      <c r="C589"/>
      <c r="D589"/>
      <c r="E589"/>
      <c r="F589" s="7"/>
      <c r="G589" s="7"/>
      <c r="H589" s="7"/>
      <c r="I589" s="7"/>
      <c r="J589" s="7"/>
    </row>
    <row r="590" spans="2:10" x14ac:dyDescent="0.15">
      <c r="B590"/>
      <c r="C590"/>
      <c r="D590"/>
      <c r="E590"/>
      <c r="F590" s="7"/>
      <c r="G590" s="7"/>
      <c r="H590" s="7"/>
      <c r="I590" s="7"/>
      <c r="J590" s="7"/>
    </row>
    <row r="591" spans="2:10" x14ac:dyDescent="0.15">
      <c r="B591"/>
      <c r="C591"/>
      <c r="D591"/>
      <c r="E591"/>
      <c r="F591" s="7"/>
      <c r="G591" s="7"/>
      <c r="H591" s="7"/>
      <c r="I591" s="7"/>
      <c r="J591" s="7"/>
    </row>
    <row r="592" spans="2:10" x14ac:dyDescent="0.15">
      <c r="B592"/>
      <c r="C592"/>
      <c r="D592"/>
      <c r="E592"/>
      <c r="F592" s="7"/>
      <c r="G592" s="7"/>
      <c r="H592" s="7"/>
      <c r="I592" s="7"/>
      <c r="J592" s="7"/>
    </row>
    <row r="593" spans="2:10" x14ac:dyDescent="0.15">
      <c r="B593"/>
      <c r="C593"/>
      <c r="D593"/>
      <c r="E593"/>
      <c r="F593" s="7"/>
      <c r="G593" s="7"/>
      <c r="H593" s="7"/>
      <c r="I593" s="7"/>
      <c r="J593" s="7"/>
    </row>
    <row r="594" spans="2:10" x14ac:dyDescent="0.15">
      <c r="B594"/>
      <c r="C594"/>
      <c r="D594"/>
      <c r="E594"/>
      <c r="F594" s="7"/>
      <c r="G594" s="7"/>
      <c r="H594" s="7"/>
      <c r="I594" s="7"/>
      <c r="J594" s="7"/>
    </row>
    <row r="595" spans="2:10" x14ac:dyDescent="0.15">
      <c r="B595"/>
      <c r="C595"/>
      <c r="D595"/>
      <c r="E595"/>
      <c r="F595" s="7"/>
      <c r="G595" s="7"/>
      <c r="H595" s="7"/>
      <c r="I595" s="7"/>
      <c r="J595" s="7"/>
    </row>
    <row r="596" spans="2:10" x14ac:dyDescent="0.15">
      <c r="B596"/>
      <c r="C596"/>
      <c r="D596"/>
      <c r="E596"/>
      <c r="F596" s="7"/>
      <c r="G596" s="7"/>
      <c r="H596" s="7"/>
      <c r="I596" s="7"/>
      <c r="J596" s="7"/>
    </row>
    <row r="597" spans="2:10" x14ac:dyDescent="0.15">
      <c r="B597"/>
      <c r="C597"/>
      <c r="D597"/>
      <c r="E597"/>
      <c r="F597" s="7"/>
      <c r="G597" s="7"/>
      <c r="H597" s="7"/>
      <c r="I597" s="7"/>
      <c r="J597" s="7"/>
    </row>
    <row r="598" spans="2:10" x14ac:dyDescent="0.15">
      <c r="B598"/>
      <c r="C598"/>
      <c r="D598"/>
      <c r="E598"/>
      <c r="F598" s="7"/>
      <c r="G598" s="7"/>
      <c r="H598" s="7"/>
      <c r="I598" s="7"/>
      <c r="J598" s="7"/>
    </row>
    <row r="599" spans="2:10" x14ac:dyDescent="0.15">
      <c r="B599"/>
      <c r="C599"/>
      <c r="D599"/>
      <c r="E599"/>
      <c r="F599" s="7"/>
      <c r="G599" s="7"/>
      <c r="H599" s="7"/>
      <c r="I599" s="7"/>
      <c r="J599" s="7"/>
    </row>
    <row r="600" spans="2:10" x14ac:dyDescent="0.15">
      <c r="B600"/>
      <c r="C600"/>
      <c r="D600"/>
      <c r="E600"/>
      <c r="F600" s="7"/>
      <c r="G600" s="7"/>
      <c r="H600" s="7"/>
      <c r="I600" s="7"/>
      <c r="J600" s="7"/>
    </row>
    <row r="601" spans="2:10" x14ac:dyDescent="0.15">
      <c r="B601"/>
      <c r="C601"/>
      <c r="D601"/>
      <c r="E601"/>
      <c r="F601" s="7"/>
      <c r="G601" s="7"/>
      <c r="H601" s="7"/>
      <c r="I601" s="7"/>
      <c r="J601" s="7"/>
    </row>
    <row r="602" spans="2:10" x14ac:dyDescent="0.15">
      <c r="B602"/>
      <c r="C602"/>
      <c r="D602"/>
      <c r="E602"/>
      <c r="F602" s="7"/>
      <c r="G602" s="7"/>
      <c r="H602" s="7"/>
      <c r="I602" s="7"/>
      <c r="J602" s="7"/>
    </row>
    <row r="603" spans="2:10" x14ac:dyDescent="0.15">
      <c r="B603"/>
      <c r="C603"/>
      <c r="D603"/>
      <c r="E603"/>
      <c r="F603" s="7"/>
      <c r="G603" s="7"/>
      <c r="H603" s="7"/>
      <c r="I603" s="7"/>
      <c r="J603" s="7"/>
    </row>
    <row r="604" spans="2:10" x14ac:dyDescent="0.15">
      <c r="B604"/>
      <c r="C604"/>
      <c r="D604"/>
      <c r="E604"/>
      <c r="F604" s="7"/>
      <c r="G604" s="7"/>
      <c r="H604" s="7"/>
      <c r="I604" s="7"/>
      <c r="J604" s="7"/>
    </row>
    <row r="605" spans="2:10" x14ac:dyDescent="0.15">
      <c r="B605"/>
      <c r="C605"/>
      <c r="D605"/>
      <c r="E605"/>
      <c r="F605" s="7"/>
      <c r="G605" s="7"/>
      <c r="H605" s="7"/>
      <c r="I605" s="7"/>
      <c r="J605" s="7"/>
    </row>
    <row r="606" spans="2:10" x14ac:dyDescent="0.15">
      <c r="B606"/>
      <c r="C606"/>
      <c r="D606"/>
      <c r="E606"/>
      <c r="F606" s="7"/>
      <c r="G606" s="7"/>
      <c r="H606" s="7"/>
      <c r="I606" s="7"/>
      <c r="J606" s="7"/>
    </row>
    <row r="607" spans="2:10" x14ac:dyDescent="0.15">
      <c r="B607"/>
      <c r="C607"/>
      <c r="D607"/>
      <c r="E607"/>
      <c r="F607" s="7"/>
      <c r="G607" s="7"/>
      <c r="H607" s="7"/>
      <c r="I607" s="7"/>
      <c r="J607" s="7"/>
    </row>
    <row r="608" spans="2:10" x14ac:dyDescent="0.15">
      <c r="B608"/>
      <c r="C608"/>
      <c r="D608"/>
      <c r="E608"/>
      <c r="F608" s="7"/>
      <c r="G608" s="7"/>
      <c r="H608" s="7"/>
      <c r="I608" s="7"/>
      <c r="J608" s="7"/>
    </row>
    <row r="609" spans="2:10" x14ac:dyDescent="0.15">
      <c r="B609"/>
      <c r="C609"/>
      <c r="D609"/>
      <c r="E609"/>
      <c r="F609" s="7"/>
      <c r="G609" s="7"/>
      <c r="H609" s="7"/>
      <c r="I609" s="7"/>
      <c r="J609" s="7"/>
    </row>
    <row r="610" spans="2:10" x14ac:dyDescent="0.15">
      <c r="B610"/>
      <c r="C610"/>
      <c r="D610"/>
      <c r="E610"/>
      <c r="F610" s="7"/>
      <c r="G610" s="7"/>
      <c r="H610" s="7"/>
      <c r="I610" s="7"/>
      <c r="J610" s="7"/>
    </row>
    <row r="611" spans="2:10" x14ac:dyDescent="0.15">
      <c r="B611"/>
      <c r="C611"/>
      <c r="D611"/>
      <c r="E611"/>
      <c r="F611" s="7"/>
      <c r="G611" s="7"/>
      <c r="H611" s="7"/>
      <c r="I611" s="7"/>
      <c r="J611" s="7"/>
    </row>
    <row r="612" spans="2:10" x14ac:dyDescent="0.15">
      <c r="B612"/>
      <c r="C612"/>
      <c r="D612"/>
      <c r="E612"/>
      <c r="F612" s="7"/>
      <c r="G612" s="7"/>
      <c r="H612" s="7"/>
      <c r="I612" s="7"/>
      <c r="J612" s="7"/>
    </row>
    <row r="613" spans="2:10" x14ac:dyDescent="0.15">
      <c r="B613"/>
      <c r="C613"/>
      <c r="D613"/>
      <c r="E613"/>
      <c r="F613" s="7"/>
      <c r="G613" s="7"/>
      <c r="H613" s="7"/>
      <c r="I613" s="7"/>
      <c r="J613" s="7"/>
    </row>
    <row r="614" spans="2:10" x14ac:dyDescent="0.15">
      <c r="B614"/>
      <c r="C614"/>
      <c r="D614"/>
      <c r="E614"/>
      <c r="F614" s="7"/>
      <c r="G614" s="7"/>
      <c r="H614" s="7"/>
      <c r="I614" s="7"/>
      <c r="J614" s="7"/>
    </row>
    <row r="615" spans="2:10" x14ac:dyDescent="0.15">
      <c r="B615"/>
      <c r="C615"/>
      <c r="D615"/>
      <c r="E615"/>
      <c r="F615" s="7"/>
      <c r="G615" s="7"/>
      <c r="H615" s="7"/>
      <c r="I615" s="7"/>
      <c r="J615" s="7"/>
    </row>
    <row r="616" spans="2:10" x14ac:dyDescent="0.15">
      <c r="B616"/>
      <c r="C616"/>
      <c r="D616"/>
      <c r="E616"/>
      <c r="F616" s="7"/>
      <c r="G616" s="7"/>
      <c r="H616" s="7"/>
      <c r="I616" s="7"/>
      <c r="J616" s="7"/>
    </row>
    <row r="617" spans="2:10" x14ac:dyDescent="0.15">
      <c r="B617"/>
      <c r="C617"/>
      <c r="D617"/>
      <c r="E617"/>
      <c r="F617" s="7"/>
      <c r="G617" s="7"/>
      <c r="H617" s="7"/>
      <c r="I617" s="7"/>
      <c r="J617" s="7"/>
    </row>
    <row r="618" spans="2:10" x14ac:dyDescent="0.15">
      <c r="B618"/>
      <c r="C618"/>
      <c r="D618"/>
      <c r="E618"/>
      <c r="F618" s="7"/>
      <c r="G618" s="7"/>
      <c r="H618" s="7"/>
      <c r="I618" s="7"/>
      <c r="J618" s="7"/>
    </row>
    <row r="619" spans="2:10" x14ac:dyDescent="0.15">
      <c r="B619"/>
      <c r="C619"/>
      <c r="D619"/>
      <c r="E619"/>
      <c r="F619" s="7"/>
      <c r="G619" s="7"/>
      <c r="H619" s="7"/>
      <c r="I619" s="7"/>
      <c r="J619" s="7"/>
    </row>
    <row r="620" spans="2:10" x14ac:dyDescent="0.15">
      <c r="B620"/>
      <c r="C620"/>
      <c r="D620"/>
      <c r="E620"/>
      <c r="F620" s="7"/>
      <c r="G620" s="7"/>
      <c r="H620" s="7"/>
      <c r="I620" s="7"/>
      <c r="J620" s="7"/>
    </row>
    <row r="621" spans="2:10" x14ac:dyDescent="0.15">
      <c r="B621"/>
      <c r="C621"/>
      <c r="D621"/>
      <c r="E621"/>
      <c r="F621" s="7"/>
      <c r="G621" s="7"/>
      <c r="H621" s="7"/>
      <c r="I621" s="7"/>
      <c r="J621" s="7"/>
    </row>
    <row r="622" spans="2:10" x14ac:dyDescent="0.15">
      <c r="B622"/>
      <c r="C622"/>
      <c r="D622"/>
      <c r="E622"/>
      <c r="F622" s="7"/>
      <c r="G622" s="7"/>
      <c r="H622" s="7"/>
      <c r="I622" s="7"/>
      <c r="J622" s="7"/>
    </row>
    <row r="623" spans="2:10" x14ac:dyDescent="0.15">
      <c r="B623"/>
      <c r="C623"/>
      <c r="D623"/>
      <c r="E623"/>
      <c r="F623" s="7"/>
      <c r="G623" s="7"/>
      <c r="H623" s="7"/>
      <c r="I623" s="7"/>
      <c r="J623" s="7"/>
    </row>
    <row r="624" spans="2:10" x14ac:dyDescent="0.15">
      <c r="B624"/>
      <c r="C624"/>
      <c r="D624"/>
      <c r="E624"/>
      <c r="F624" s="7"/>
      <c r="G624" s="7"/>
      <c r="H624" s="7"/>
      <c r="I624" s="7"/>
      <c r="J624" s="7"/>
    </row>
    <row r="625" spans="2:10" x14ac:dyDescent="0.15">
      <c r="B625"/>
      <c r="C625"/>
      <c r="D625"/>
      <c r="E625"/>
      <c r="F625" s="7"/>
      <c r="G625" s="7"/>
      <c r="H625" s="7"/>
      <c r="I625" s="7"/>
      <c r="J625" s="7"/>
    </row>
    <row r="626" spans="2:10" x14ac:dyDescent="0.15">
      <c r="B626"/>
      <c r="C626"/>
      <c r="D626"/>
      <c r="E626"/>
      <c r="F626" s="7"/>
      <c r="G626" s="7"/>
      <c r="H626" s="7"/>
      <c r="I626" s="7"/>
      <c r="J626" s="7"/>
    </row>
    <row r="627" spans="2:10" x14ac:dyDescent="0.15">
      <c r="B627"/>
      <c r="C627"/>
      <c r="D627"/>
      <c r="E627"/>
      <c r="F627" s="7"/>
      <c r="G627" s="7"/>
      <c r="H627" s="7"/>
      <c r="I627" s="7"/>
      <c r="J627" s="7"/>
    </row>
    <row r="628" spans="2:10" x14ac:dyDescent="0.15">
      <c r="B628"/>
      <c r="C628"/>
      <c r="D628"/>
      <c r="E628"/>
      <c r="F628" s="7"/>
      <c r="G628" s="7"/>
      <c r="H628" s="7"/>
      <c r="I628" s="7"/>
      <c r="J628" s="7"/>
    </row>
    <row r="629" spans="2:10" x14ac:dyDescent="0.15">
      <c r="B629"/>
      <c r="C629"/>
      <c r="D629"/>
      <c r="E629"/>
      <c r="F629" s="7"/>
      <c r="G629" s="7"/>
      <c r="H629" s="7"/>
      <c r="I629" s="7"/>
      <c r="J629" s="7"/>
    </row>
    <row r="630" spans="2:10" x14ac:dyDescent="0.15">
      <c r="B630"/>
      <c r="C630"/>
      <c r="D630"/>
      <c r="E630"/>
      <c r="F630" s="7"/>
      <c r="G630" s="7"/>
      <c r="H630" s="7"/>
      <c r="I630" s="7"/>
      <c r="J630" s="7"/>
    </row>
    <row r="631" spans="2:10" x14ac:dyDescent="0.15">
      <c r="B631"/>
      <c r="C631"/>
      <c r="D631"/>
      <c r="E631"/>
      <c r="F631" s="7"/>
      <c r="G631" s="7"/>
      <c r="H631" s="7"/>
      <c r="I631" s="7"/>
      <c r="J631" s="7"/>
    </row>
    <row r="632" spans="2:10" x14ac:dyDescent="0.15">
      <c r="B632"/>
      <c r="C632"/>
      <c r="D632"/>
      <c r="E632"/>
      <c r="F632" s="7"/>
      <c r="G632" s="7"/>
      <c r="H632" s="7"/>
      <c r="I632" s="7"/>
      <c r="J632" s="7"/>
    </row>
    <row r="633" spans="2:10" x14ac:dyDescent="0.15">
      <c r="B633"/>
      <c r="C633"/>
      <c r="D633"/>
      <c r="E633"/>
      <c r="F633" s="7"/>
      <c r="G633" s="7"/>
      <c r="H633" s="7"/>
      <c r="I633" s="7"/>
      <c r="J633" s="7"/>
    </row>
    <row r="634" spans="2:10" x14ac:dyDescent="0.15">
      <c r="B634"/>
      <c r="C634"/>
      <c r="D634"/>
      <c r="E634"/>
      <c r="F634" s="7"/>
      <c r="G634" s="7"/>
      <c r="H634" s="7"/>
      <c r="I634" s="7"/>
      <c r="J634" s="7"/>
    </row>
    <row r="635" spans="2:10" x14ac:dyDescent="0.15">
      <c r="B635"/>
      <c r="C635"/>
      <c r="D635"/>
      <c r="E635"/>
      <c r="F635" s="7"/>
      <c r="G635" s="7"/>
      <c r="H635" s="7"/>
      <c r="I635" s="7"/>
      <c r="J635" s="7"/>
    </row>
    <row r="636" spans="2:10" x14ac:dyDescent="0.15">
      <c r="B636"/>
      <c r="C636"/>
      <c r="D636"/>
      <c r="E636"/>
      <c r="F636" s="7"/>
      <c r="G636" s="7"/>
      <c r="H636" s="7"/>
      <c r="I636" s="7"/>
      <c r="J636" s="7"/>
    </row>
    <row r="637" spans="2:10" x14ac:dyDescent="0.15">
      <c r="B637"/>
      <c r="C637"/>
      <c r="D637"/>
      <c r="E637"/>
      <c r="F637" s="7"/>
      <c r="G637" s="7"/>
      <c r="H637" s="7"/>
      <c r="I637" s="7"/>
      <c r="J637" s="7"/>
    </row>
    <row r="638" spans="2:10" x14ac:dyDescent="0.15">
      <c r="B638"/>
      <c r="C638"/>
      <c r="D638"/>
      <c r="E638"/>
      <c r="F638" s="7"/>
      <c r="G638" s="7"/>
      <c r="H638" s="7"/>
      <c r="I638" s="7"/>
      <c r="J638" s="7"/>
    </row>
    <row r="639" spans="2:10" x14ac:dyDescent="0.15">
      <c r="B639"/>
      <c r="C639"/>
      <c r="D639"/>
      <c r="E639"/>
      <c r="F639" s="7"/>
      <c r="G639" s="7"/>
      <c r="H639" s="7"/>
      <c r="I639" s="7"/>
      <c r="J639" s="7"/>
    </row>
    <row r="640" spans="2:10" x14ac:dyDescent="0.15">
      <c r="B640"/>
      <c r="C640"/>
      <c r="D640"/>
      <c r="E640"/>
      <c r="F640" s="7"/>
      <c r="G640" s="7"/>
      <c r="H640" s="7"/>
      <c r="I640" s="7"/>
      <c r="J640" s="7"/>
    </row>
    <row r="641" spans="2:10" x14ac:dyDescent="0.15">
      <c r="B641"/>
      <c r="C641"/>
      <c r="D641"/>
      <c r="E641"/>
      <c r="F641" s="7"/>
      <c r="G641" s="7"/>
      <c r="H641" s="7"/>
      <c r="I641" s="7"/>
      <c r="J641" s="7"/>
    </row>
    <row r="642" spans="2:10" x14ac:dyDescent="0.15">
      <c r="B642"/>
      <c r="C642"/>
      <c r="D642"/>
      <c r="E642"/>
      <c r="F642" s="7"/>
      <c r="G642" s="7"/>
      <c r="H642" s="7"/>
      <c r="I642" s="7"/>
      <c r="J642" s="7"/>
    </row>
    <row r="643" spans="2:10" x14ac:dyDescent="0.15">
      <c r="B643"/>
      <c r="C643"/>
      <c r="D643"/>
      <c r="E643"/>
      <c r="F643" s="7"/>
      <c r="G643" s="7"/>
      <c r="H643" s="7"/>
      <c r="I643" s="7"/>
      <c r="J643" s="7"/>
    </row>
    <row r="644" spans="2:10" x14ac:dyDescent="0.15">
      <c r="B644"/>
      <c r="C644"/>
      <c r="D644"/>
      <c r="E644"/>
      <c r="F644" s="7"/>
      <c r="G644" s="7"/>
      <c r="H644" s="7"/>
      <c r="I644" s="7"/>
      <c r="J644" s="7"/>
    </row>
    <row r="645" spans="2:10" x14ac:dyDescent="0.15">
      <c r="B645"/>
      <c r="C645"/>
      <c r="D645"/>
      <c r="E645"/>
      <c r="F645" s="7"/>
      <c r="G645" s="7"/>
      <c r="H645" s="7"/>
      <c r="I645" s="7"/>
      <c r="J645" s="7"/>
    </row>
    <row r="646" spans="2:10" x14ac:dyDescent="0.15">
      <c r="B646"/>
      <c r="C646"/>
      <c r="D646"/>
      <c r="E646"/>
      <c r="F646" s="7"/>
      <c r="G646" s="7"/>
      <c r="H646" s="7"/>
      <c r="I646" s="7"/>
      <c r="J646" s="7"/>
    </row>
    <row r="647" spans="2:10" x14ac:dyDescent="0.15">
      <c r="B647"/>
      <c r="C647"/>
      <c r="D647"/>
      <c r="E647"/>
      <c r="F647" s="7"/>
      <c r="G647" s="7"/>
      <c r="H647" s="7"/>
      <c r="I647" s="7"/>
      <c r="J647" s="7"/>
    </row>
    <row r="648" spans="2:10" x14ac:dyDescent="0.15">
      <c r="B648"/>
      <c r="C648"/>
      <c r="D648"/>
      <c r="E648"/>
      <c r="F648" s="7"/>
      <c r="G648" s="7"/>
      <c r="H648" s="7"/>
      <c r="I648" s="7"/>
      <c r="J648" s="7"/>
    </row>
    <row r="649" spans="2:10" x14ac:dyDescent="0.15">
      <c r="B649"/>
      <c r="C649"/>
      <c r="D649"/>
      <c r="E649"/>
      <c r="F649" s="7"/>
      <c r="G649" s="7"/>
      <c r="H649" s="7"/>
      <c r="I649" s="7"/>
      <c r="J649" s="7"/>
    </row>
    <row r="650" spans="2:10" x14ac:dyDescent="0.15">
      <c r="B650"/>
      <c r="C650"/>
      <c r="D650"/>
      <c r="E650"/>
      <c r="F650" s="7"/>
      <c r="G650" s="7"/>
      <c r="H650" s="7"/>
      <c r="I650" s="7"/>
      <c r="J650" s="7"/>
    </row>
    <row r="651" spans="2:10" x14ac:dyDescent="0.15">
      <c r="B651"/>
      <c r="C651"/>
      <c r="D651"/>
      <c r="E651"/>
      <c r="F651" s="7"/>
      <c r="G651" s="7"/>
      <c r="H651" s="7"/>
      <c r="I651" s="7"/>
      <c r="J651" s="7"/>
    </row>
    <row r="652" spans="2:10" x14ac:dyDescent="0.15">
      <c r="B652"/>
      <c r="C652"/>
      <c r="D652"/>
      <c r="E652"/>
      <c r="F652" s="7"/>
      <c r="G652" s="7"/>
      <c r="H652" s="7"/>
      <c r="I652" s="7"/>
      <c r="J652" s="7"/>
    </row>
    <row r="653" spans="2:10" x14ac:dyDescent="0.15">
      <c r="B653"/>
      <c r="C653"/>
      <c r="D653"/>
      <c r="E653"/>
      <c r="F653" s="7"/>
      <c r="G653" s="7"/>
      <c r="H653" s="7"/>
      <c r="I653" s="7"/>
      <c r="J653" s="7"/>
    </row>
    <row r="654" spans="2:10" x14ac:dyDescent="0.15">
      <c r="B654"/>
      <c r="C654"/>
      <c r="D654"/>
      <c r="E654"/>
      <c r="F654" s="7"/>
      <c r="G654" s="7"/>
      <c r="H654" s="7"/>
      <c r="I654" s="7"/>
      <c r="J654" s="7"/>
    </row>
    <row r="655" spans="2:10" x14ac:dyDescent="0.15">
      <c r="B655"/>
      <c r="C655"/>
      <c r="D655"/>
      <c r="E655"/>
      <c r="F655" s="7"/>
      <c r="G655" s="7"/>
      <c r="H655" s="7"/>
      <c r="I655" s="7"/>
      <c r="J655" s="7"/>
    </row>
    <row r="656" spans="2:10" x14ac:dyDescent="0.15">
      <c r="B656"/>
      <c r="C656"/>
      <c r="D656"/>
      <c r="E656"/>
      <c r="F656" s="7"/>
      <c r="G656" s="7"/>
      <c r="H656" s="7"/>
      <c r="I656" s="7"/>
      <c r="J656" s="7"/>
    </row>
    <row r="657" spans="2:10" x14ac:dyDescent="0.15">
      <c r="B657"/>
      <c r="C657"/>
      <c r="D657"/>
      <c r="E657"/>
      <c r="F657" s="7"/>
      <c r="G657" s="7"/>
      <c r="H657" s="7"/>
      <c r="I657" s="7"/>
      <c r="J657" s="7"/>
    </row>
    <row r="658" spans="2:10" x14ac:dyDescent="0.15">
      <c r="B658"/>
      <c r="C658"/>
      <c r="D658"/>
      <c r="E658"/>
      <c r="F658" s="7"/>
      <c r="G658" s="7"/>
      <c r="H658" s="7"/>
      <c r="I658" s="7"/>
      <c r="J658" s="7"/>
    </row>
    <row r="659" spans="2:10" x14ac:dyDescent="0.15">
      <c r="B659"/>
      <c r="C659"/>
      <c r="D659"/>
      <c r="E659"/>
      <c r="F659" s="7"/>
      <c r="G659" s="7"/>
      <c r="H659" s="7"/>
      <c r="I659" s="7"/>
      <c r="J659" s="7"/>
    </row>
    <row r="660" spans="2:10" x14ac:dyDescent="0.15">
      <c r="B660"/>
      <c r="C660"/>
      <c r="D660"/>
      <c r="E660"/>
      <c r="F660" s="7"/>
      <c r="G660" s="7"/>
      <c r="H660" s="7"/>
      <c r="I660" s="7"/>
      <c r="J660" s="7"/>
    </row>
    <row r="661" spans="2:10" x14ac:dyDescent="0.15">
      <c r="B661"/>
      <c r="C661"/>
      <c r="D661"/>
      <c r="E661"/>
      <c r="F661" s="7"/>
      <c r="G661" s="7"/>
      <c r="H661" s="7"/>
      <c r="I661" s="7"/>
      <c r="J661" s="7"/>
    </row>
    <row r="662" spans="2:10" x14ac:dyDescent="0.15">
      <c r="B662"/>
      <c r="C662"/>
      <c r="D662"/>
      <c r="E662"/>
      <c r="F662" s="7"/>
      <c r="G662" s="7"/>
      <c r="H662" s="7"/>
      <c r="I662" s="7"/>
      <c r="J662" s="7"/>
    </row>
    <row r="663" spans="2:10" x14ac:dyDescent="0.15">
      <c r="B663"/>
      <c r="C663"/>
      <c r="D663"/>
      <c r="E663"/>
      <c r="F663" s="7"/>
      <c r="G663" s="7"/>
      <c r="H663" s="7"/>
      <c r="I663" s="7"/>
      <c r="J663" s="7"/>
    </row>
    <row r="664" spans="2:10" x14ac:dyDescent="0.15">
      <c r="B664"/>
      <c r="C664"/>
      <c r="D664"/>
      <c r="E664"/>
      <c r="F664" s="7"/>
      <c r="G664" s="7"/>
      <c r="H664" s="7"/>
      <c r="I664" s="7"/>
      <c r="J664" s="7"/>
    </row>
    <row r="665" spans="2:10" x14ac:dyDescent="0.15">
      <c r="B665"/>
      <c r="C665"/>
      <c r="D665"/>
      <c r="E665"/>
      <c r="F665" s="7"/>
      <c r="G665" s="7"/>
      <c r="H665" s="7"/>
      <c r="I665" s="7"/>
      <c r="J665" s="7"/>
    </row>
    <row r="666" spans="2:10" x14ac:dyDescent="0.15">
      <c r="B666"/>
      <c r="C666"/>
      <c r="D666"/>
      <c r="E666"/>
      <c r="F666" s="7"/>
      <c r="G666" s="7"/>
      <c r="H666" s="7"/>
      <c r="I666" s="7"/>
      <c r="J666" s="7"/>
    </row>
    <row r="667" spans="2:10" x14ac:dyDescent="0.15">
      <c r="B667"/>
      <c r="C667"/>
      <c r="D667"/>
      <c r="E667"/>
      <c r="F667" s="7"/>
      <c r="G667" s="7"/>
      <c r="H667" s="7"/>
      <c r="I667" s="7"/>
      <c r="J667" s="7"/>
    </row>
    <row r="668" spans="2:10" x14ac:dyDescent="0.15">
      <c r="B668"/>
      <c r="C668"/>
      <c r="D668"/>
      <c r="E668"/>
      <c r="F668" s="7"/>
      <c r="G668" s="7"/>
      <c r="H668" s="7"/>
      <c r="I668" s="7"/>
      <c r="J668" s="7"/>
    </row>
    <row r="669" spans="2:10" x14ac:dyDescent="0.15">
      <c r="B669"/>
      <c r="C669"/>
      <c r="D669"/>
      <c r="E669"/>
      <c r="F669" s="7"/>
      <c r="G669" s="7"/>
      <c r="H669" s="7"/>
      <c r="I669" s="7"/>
      <c r="J669" s="7"/>
    </row>
    <row r="670" spans="2:10" x14ac:dyDescent="0.15">
      <c r="B670"/>
      <c r="C670"/>
      <c r="D670"/>
      <c r="E670"/>
      <c r="F670" s="7"/>
      <c r="G670" s="7"/>
      <c r="H670" s="7"/>
      <c r="I670" s="7"/>
      <c r="J670" s="7"/>
    </row>
    <row r="671" spans="2:10" x14ac:dyDescent="0.15">
      <c r="B671"/>
      <c r="C671"/>
      <c r="D671"/>
      <c r="E671"/>
      <c r="F671" s="7"/>
      <c r="G671" s="7"/>
      <c r="H671" s="7"/>
      <c r="I671" s="7"/>
      <c r="J671" s="7"/>
    </row>
    <row r="672" spans="2:10" x14ac:dyDescent="0.15">
      <c r="B672"/>
      <c r="C672"/>
      <c r="D672"/>
      <c r="E672"/>
      <c r="F672" s="7"/>
      <c r="G672" s="7"/>
      <c r="H672" s="7"/>
      <c r="I672" s="7"/>
      <c r="J672" s="7"/>
    </row>
    <row r="673" spans="2:10" x14ac:dyDescent="0.15">
      <c r="B673"/>
      <c r="C673"/>
      <c r="D673"/>
      <c r="E673"/>
      <c r="F673" s="7"/>
      <c r="G673" s="7"/>
      <c r="H673" s="7"/>
      <c r="I673" s="7"/>
      <c r="J673" s="7"/>
    </row>
    <row r="674" spans="2:10" x14ac:dyDescent="0.15">
      <c r="B674"/>
      <c r="C674"/>
      <c r="D674"/>
      <c r="E674"/>
      <c r="F674" s="7"/>
      <c r="G674" s="7"/>
      <c r="H674" s="7"/>
      <c r="I674" s="7"/>
      <c r="J674" s="7"/>
    </row>
    <row r="675" spans="2:10" x14ac:dyDescent="0.15">
      <c r="B675"/>
      <c r="C675"/>
      <c r="D675"/>
      <c r="E675"/>
      <c r="F675" s="7"/>
      <c r="G675" s="7"/>
      <c r="H675" s="7"/>
      <c r="I675" s="7"/>
      <c r="J675" s="7"/>
    </row>
    <row r="676" spans="2:10" x14ac:dyDescent="0.15">
      <c r="B676"/>
      <c r="C676"/>
      <c r="D676"/>
      <c r="E676"/>
      <c r="F676" s="7"/>
      <c r="G676" s="7"/>
      <c r="H676" s="7"/>
      <c r="I676" s="7"/>
      <c r="J676" s="7"/>
    </row>
    <row r="677" spans="2:10" x14ac:dyDescent="0.15">
      <c r="B677"/>
      <c r="C677"/>
      <c r="D677"/>
      <c r="E677"/>
      <c r="F677" s="7"/>
      <c r="G677" s="7"/>
      <c r="H677" s="7"/>
      <c r="I677" s="7"/>
      <c r="J677" s="7"/>
    </row>
    <row r="678" spans="2:10" x14ac:dyDescent="0.15">
      <c r="B678"/>
      <c r="C678"/>
      <c r="D678"/>
      <c r="E678"/>
      <c r="F678" s="7"/>
      <c r="G678" s="7"/>
      <c r="H678" s="7"/>
      <c r="I678" s="7"/>
      <c r="J678" s="7"/>
    </row>
    <row r="679" spans="2:10" x14ac:dyDescent="0.15">
      <c r="B679"/>
      <c r="C679"/>
      <c r="D679"/>
      <c r="E679"/>
      <c r="F679" s="7"/>
      <c r="G679" s="7"/>
      <c r="H679" s="7"/>
      <c r="I679" s="7"/>
      <c r="J679" s="7"/>
    </row>
    <row r="680" spans="2:10" x14ac:dyDescent="0.15">
      <c r="B680"/>
      <c r="C680"/>
      <c r="D680"/>
      <c r="E680"/>
      <c r="F680" s="7"/>
      <c r="G680" s="7"/>
      <c r="H680" s="7"/>
      <c r="I680" s="7"/>
      <c r="J680" s="7"/>
    </row>
    <row r="681" spans="2:10" x14ac:dyDescent="0.15">
      <c r="B681"/>
      <c r="C681"/>
      <c r="D681"/>
      <c r="E681"/>
      <c r="F681" s="7"/>
      <c r="G681" s="7"/>
      <c r="H681" s="7"/>
      <c r="I681" s="7"/>
      <c r="J681" s="7"/>
    </row>
    <row r="682" spans="2:10" x14ac:dyDescent="0.15">
      <c r="B682"/>
      <c r="C682"/>
      <c r="D682"/>
      <c r="E682"/>
      <c r="F682" s="7"/>
      <c r="G682" s="7"/>
      <c r="H682" s="7"/>
      <c r="I682" s="7"/>
      <c r="J682" s="7"/>
    </row>
    <row r="683" spans="2:10" x14ac:dyDescent="0.15">
      <c r="B683"/>
      <c r="C683"/>
      <c r="D683"/>
      <c r="E683"/>
      <c r="F683" s="7"/>
      <c r="G683" s="7"/>
      <c r="H683" s="7"/>
      <c r="I683" s="7"/>
      <c r="J683" s="7"/>
    </row>
    <row r="684" spans="2:10" x14ac:dyDescent="0.15">
      <c r="B684"/>
      <c r="C684"/>
      <c r="D684"/>
      <c r="E684"/>
      <c r="F684" s="7"/>
      <c r="G684" s="7"/>
      <c r="H684" s="7"/>
      <c r="I684" s="7"/>
      <c r="J684" s="7"/>
    </row>
    <row r="685" spans="2:10" x14ac:dyDescent="0.15">
      <c r="B685"/>
      <c r="C685"/>
      <c r="D685"/>
      <c r="E685"/>
      <c r="F685" s="7"/>
      <c r="G685" s="7"/>
      <c r="H685" s="7"/>
      <c r="I685" s="7"/>
      <c r="J685" s="7"/>
    </row>
    <row r="686" spans="2:10" x14ac:dyDescent="0.15">
      <c r="B686"/>
      <c r="C686"/>
      <c r="D686"/>
      <c r="E686"/>
      <c r="F686" s="7"/>
      <c r="G686" s="7"/>
      <c r="H686" s="7"/>
      <c r="I686" s="7"/>
      <c r="J686" s="7"/>
    </row>
    <row r="687" spans="2:10" x14ac:dyDescent="0.15">
      <c r="B687"/>
      <c r="C687"/>
      <c r="D687"/>
      <c r="E687"/>
      <c r="F687" s="7"/>
      <c r="G687" s="7"/>
      <c r="H687" s="7"/>
      <c r="I687" s="7"/>
      <c r="J687" s="7"/>
    </row>
    <row r="688" spans="2:10" x14ac:dyDescent="0.15">
      <c r="B688"/>
      <c r="C688"/>
      <c r="D688"/>
      <c r="E688"/>
      <c r="F688" s="7"/>
      <c r="G688" s="7"/>
      <c r="H688" s="7"/>
      <c r="I688" s="7"/>
      <c r="J688" s="7"/>
    </row>
    <row r="689" spans="2:10" x14ac:dyDescent="0.15">
      <c r="B689"/>
      <c r="C689"/>
      <c r="D689"/>
      <c r="E689"/>
      <c r="F689" s="7"/>
      <c r="G689" s="7"/>
      <c r="H689" s="7"/>
      <c r="I689" s="7"/>
      <c r="J689" s="7"/>
    </row>
    <row r="690" spans="2:10" x14ac:dyDescent="0.15">
      <c r="B690"/>
      <c r="C690"/>
      <c r="D690"/>
      <c r="E690"/>
      <c r="F690" s="7"/>
      <c r="G690" s="7"/>
      <c r="H690" s="7"/>
      <c r="I690" s="7"/>
      <c r="J690" s="7"/>
    </row>
    <row r="691" spans="2:10" x14ac:dyDescent="0.15">
      <c r="B691"/>
      <c r="C691"/>
      <c r="D691"/>
      <c r="E691"/>
      <c r="F691" s="7"/>
      <c r="G691" s="7"/>
      <c r="H691" s="7"/>
      <c r="I691" s="7"/>
      <c r="J691" s="7"/>
    </row>
    <row r="692" spans="2:10" x14ac:dyDescent="0.15">
      <c r="B692"/>
      <c r="C692"/>
      <c r="D692"/>
      <c r="E692"/>
      <c r="F692" s="7"/>
      <c r="G692" s="7"/>
      <c r="H692" s="7"/>
      <c r="I692" s="7"/>
      <c r="J692" s="7"/>
    </row>
    <row r="693" spans="2:10" x14ac:dyDescent="0.15">
      <c r="B693"/>
      <c r="C693"/>
      <c r="D693"/>
      <c r="E693"/>
      <c r="F693" s="7"/>
      <c r="G693" s="7"/>
      <c r="H693" s="7"/>
      <c r="I693" s="7"/>
      <c r="J693" s="7"/>
    </row>
    <row r="694" spans="2:10" x14ac:dyDescent="0.15">
      <c r="B694"/>
      <c r="C694"/>
      <c r="D694"/>
      <c r="E694"/>
      <c r="F694" s="7"/>
      <c r="G694" s="7"/>
      <c r="H694" s="7"/>
      <c r="I694" s="7"/>
      <c r="J694" s="7"/>
    </row>
    <row r="695" spans="2:10" x14ac:dyDescent="0.15">
      <c r="B695"/>
      <c r="C695"/>
      <c r="D695"/>
      <c r="E695"/>
      <c r="F695" s="7"/>
      <c r="G695" s="7"/>
      <c r="H695" s="7"/>
      <c r="I695" s="7"/>
      <c r="J695" s="7"/>
    </row>
    <row r="696" spans="2:10" x14ac:dyDescent="0.15">
      <c r="B696"/>
      <c r="C696"/>
      <c r="D696"/>
      <c r="E696"/>
      <c r="F696" s="7"/>
      <c r="G696" s="7"/>
      <c r="H696" s="7"/>
      <c r="I696" s="7"/>
      <c r="J696" s="7"/>
    </row>
    <row r="697" spans="2:10" x14ac:dyDescent="0.15">
      <c r="B697"/>
      <c r="C697"/>
      <c r="D697"/>
      <c r="E697"/>
      <c r="F697" s="7"/>
      <c r="G697" s="7"/>
      <c r="H697" s="7"/>
      <c r="I697" s="7"/>
      <c r="J697" s="7"/>
    </row>
    <row r="698" spans="2:10" x14ac:dyDescent="0.15">
      <c r="B698"/>
      <c r="C698"/>
      <c r="D698"/>
      <c r="E698"/>
      <c r="F698" s="7"/>
      <c r="G698" s="7"/>
      <c r="H698" s="7"/>
      <c r="I698" s="7"/>
      <c r="J698" s="7"/>
    </row>
    <row r="699" spans="2:10" x14ac:dyDescent="0.15">
      <c r="B699"/>
      <c r="C699"/>
      <c r="D699"/>
      <c r="E699"/>
      <c r="F699" s="7"/>
      <c r="G699" s="7"/>
      <c r="H699" s="7"/>
      <c r="I699" s="7"/>
      <c r="J699" s="7"/>
    </row>
    <row r="700" spans="2:10" x14ac:dyDescent="0.15">
      <c r="B700"/>
      <c r="C700"/>
      <c r="D700"/>
      <c r="E700"/>
      <c r="F700" s="7"/>
      <c r="G700" s="7"/>
      <c r="H700" s="7"/>
      <c r="I700" s="7"/>
      <c r="J700" s="7"/>
    </row>
    <row r="701" spans="2:10" x14ac:dyDescent="0.15">
      <c r="B701"/>
      <c r="C701"/>
      <c r="D701"/>
      <c r="E701"/>
      <c r="F701" s="7"/>
      <c r="G701" s="7"/>
      <c r="H701" s="7"/>
      <c r="I701" s="7"/>
      <c r="J701" s="7"/>
    </row>
    <row r="702" spans="2:10" x14ac:dyDescent="0.15">
      <c r="B702"/>
      <c r="C702"/>
      <c r="D702"/>
      <c r="E702"/>
      <c r="F702" s="7"/>
      <c r="G702" s="7"/>
      <c r="H702" s="7"/>
      <c r="I702" s="7"/>
      <c r="J702" s="7"/>
    </row>
    <row r="703" spans="2:10" x14ac:dyDescent="0.15">
      <c r="B703"/>
      <c r="C703"/>
      <c r="D703"/>
      <c r="E703"/>
      <c r="F703" s="7"/>
      <c r="G703" s="7"/>
      <c r="H703" s="7"/>
      <c r="I703" s="7"/>
      <c r="J703" s="7"/>
    </row>
    <row r="704" spans="2:10" x14ac:dyDescent="0.15">
      <c r="B704"/>
      <c r="C704"/>
      <c r="D704"/>
      <c r="E704"/>
      <c r="F704" s="7"/>
      <c r="G704" s="7"/>
      <c r="H704" s="7"/>
      <c r="I704" s="7"/>
      <c r="J704" s="7"/>
    </row>
    <row r="705" spans="2:10" x14ac:dyDescent="0.15">
      <c r="B705"/>
      <c r="C705"/>
      <c r="D705"/>
      <c r="E705"/>
      <c r="F705" s="7"/>
      <c r="G705" s="7"/>
      <c r="H705" s="7"/>
      <c r="I705" s="7"/>
      <c r="J705" s="7"/>
    </row>
    <row r="706" spans="2:10" x14ac:dyDescent="0.15">
      <c r="B706"/>
      <c r="C706"/>
      <c r="D706"/>
      <c r="E706"/>
      <c r="F706" s="7"/>
      <c r="G706" s="7"/>
      <c r="H706" s="7"/>
      <c r="I706" s="7"/>
      <c r="J706" s="7"/>
    </row>
    <row r="707" spans="2:10" x14ac:dyDescent="0.15">
      <c r="B707"/>
      <c r="C707"/>
      <c r="D707"/>
      <c r="E707"/>
      <c r="F707" s="7"/>
      <c r="G707" s="7"/>
      <c r="H707" s="7"/>
      <c r="I707" s="7"/>
      <c r="J707" s="7"/>
    </row>
    <row r="708" spans="2:10" x14ac:dyDescent="0.15">
      <c r="B708"/>
      <c r="C708"/>
      <c r="D708"/>
      <c r="E708"/>
      <c r="F708" s="7"/>
      <c r="G708" s="7"/>
      <c r="H708" s="7"/>
      <c r="I708" s="7"/>
      <c r="J708" s="7"/>
    </row>
    <row r="709" spans="2:10" x14ac:dyDescent="0.15">
      <c r="B709"/>
      <c r="C709"/>
      <c r="D709"/>
      <c r="E709"/>
      <c r="F709" s="7"/>
      <c r="G709" s="7"/>
      <c r="H709" s="7"/>
      <c r="I709" s="7"/>
      <c r="J709" s="7"/>
    </row>
    <row r="710" spans="2:10" x14ac:dyDescent="0.15">
      <c r="B710"/>
      <c r="C710"/>
      <c r="D710"/>
      <c r="E710"/>
      <c r="F710" s="7"/>
      <c r="G710" s="7"/>
      <c r="H710" s="7"/>
      <c r="I710" s="7"/>
      <c r="J710" s="7"/>
    </row>
    <row r="711" spans="2:10" x14ac:dyDescent="0.15">
      <c r="B711"/>
      <c r="C711"/>
      <c r="D711"/>
      <c r="E711"/>
      <c r="F711" s="7"/>
      <c r="G711" s="7"/>
      <c r="H711" s="7"/>
      <c r="I711" s="7"/>
      <c r="J711" s="7"/>
    </row>
    <row r="712" spans="2:10" x14ac:dyDescent="0.15">
      <c r="B712"/>
      <c r="C712"/>
      <c r="D712"/>
      <c r="E712"/>
      <c r="F712" s="7"/>
      <c r="G712" s="7"/>
      <c r="H712" s="7"/>
      <c r="I712" s="7"/>
      <c r="J712" s="7"/>
    </row>
    <row r="713" spans="2:10" x14ac:dyDescent="0.15">
      <c r="B713"/>
      <c r="C713"/>
      <c r="D713"/>
      <c r="E713"/>
      <c r="F713" s="7"/>
      <c r="G713" s="7"/>
      <c r="H713" s="7"/>
      <c r="I713" s="7"/>
      <c r="J713" s="7"/>
    </row>
    <row r="714" spans="2:10" x14ac:dyDescent="0.15">
      <c r="B714"/>
      <c r="C714"/>
      <c r="D714"/>
      <c r="E714"/>
      <c r="F714" s="7"/>
      <c r="G714" s="7"/>
      <c r="H714" s="7"/>
      <c r="I714" s="7"/>
      <c r="J714" s="7"/>
    </row>
    <row r="715" spans="2:10" x14ac:dyDescent="0.15">
      <c r="B715"/>
      <c r="C715"/>
      <c r="D715"/>
      <c r="E715"/>
      <c r="F715" s="7"/>
      <c r="G715" s="7"/>
      <c r="H715" s="7"/>
      <c r="I715" s="7"/>
      <c r="J715" s="7"/>
    </row>
    <row r="716" spans="2:10" x14ac:dyDescent="0.15">
      <c r="B716"/>
      <c r="C716"/>
      <c r="D716"/>
      <c r="E716"/>
      <c r="F716" s="7"/>
      <c r="G716" s="7"/>
      <c r="H716" s="7"/>
      <c r="I716" s="7"/>
      <c r="J716" s="7"/>
    </row>
    <row r="717" spans="2:10" x14ac:dyDescent="0.15">
      <c r="B717"/>
      <c r="C717"/>
      <c r="D717"/>
      <c r="E717"/>
      <c r="F717" s="7"/>
      <c r="G717" s="7"/>
      <c r="H717" s="7"/>
      <c r="I717" s="7"/>
      <c r="J717" s="7"/>
    </row>
    <row r="718" spans="2:10" x14ac:dyDescent="0.15">
      <c r="B718"/>
      <c r="C718"/>
      <c r="D718"/>
      <c r="E718"/>
      <c r="F718" s="7"/>
      <c r="G718" s="7"/>
      <c r="H718" s="7"/>
      <c r="I718" s="7"/>
      <c r="J718" s="7"/>
    </row>
    <row r="719" spans="2:10" x14ac:dyDescent="0.15">
      <c r="B719"/>
      <c r="C719"/>
      <c r="D719"/>
      <c r="E719"/>
      <c r="F719" s="7"/>
      <c r="G719" s="7"/>
      <c r="H719" s="7"/>
      <c r="I719" s="7"/>
      <c r="J719" s="7"/>
    </row>
    <row r="720" spans="2:10" x14ac:dyDescent="0.15">
      <c r="B720"/>
      <c r="C720"/>
      <c r="D720"/>
      <c r="E720"/>
      <c r="F720" s="7"/>
      <c r="G720" s="7"/>
      <c r="H720" s="7"/>
      <c r="I720" s="7"/>
      <c r="J720" s="7"/>
    </row>
    <row r="721" spans="2:10" x14ac:dyDescent="0.15">
      <c r="B721"/>
      <c r="C721"/>
      <c r="D721"/>
      <c r="E721"/>
      <c r="F721" s="7"/>
      <c r="G721" s="7"/>
      <c r="H721" s="7"/>
      <c r="I721" s="7"/>
      <c r="J721" s="7"/>
    </row>
    <row r="722" spans="2:10" x14ac:dyDescent="0.15">
      <c r="B722"/>
      <c r="C722"/>
      <c r="D722"/>
      <c r="E722"/>
      <c r="F722" s="7"/>
      <c r="G722" s="7"/>
      <c r="H722" s="7"/>
      <c r="I722" s="7"/>
      <c r="J722" s="7"/>
    </row>
  </sheetData>
  <mergeCells count="2">
    <mergeCell ref="C1:C2"/>
    <mergeCell ref="F1:J1"/>
  </mergeCells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2"/>
  <sheetViews>
    <sheetView workbookViewId="0">
      <selection activeCell="F3" sqref="F3"/>
    </sheetView>
  </sheetViews>
  <sheetFormatPr defaultRowHeight="13.5" x14ac:dyDescent="0.15"/>
  <cols>
    <col min="2" max="5" width="12.625" style="2" customWidth="1"/>
    <col min="6" max="10" width="9.625" style="4" customWidth="1"/>
  </cols>
  <sheetData>
    <row r="1" spans="2:12" ht="13.5" customHeight="1" x14ac:dyDescent="0.15">
      <c r="B1" s="8" t="s">
        <v>7</v>
      </c>
      <c r="C1" s="14" t="s">
        <v>10</v>
      </c>
      <c r="D1" s="8" t="s">
        <v>11</v>
      </c>
      <c r="E1" s="8" t="s">
        <v>1</v>
      </c>
      <c r="F1" s="16" t="s">
        <v>20</v>
      </c>
      <c r="G1" s="17"/>
      <c r="H1" s="17"/>
      <c r="I1" s="17"/>
      <c r="J1" s="18"/>
    </row>
    <row r="2" spans="2:12" x14ac:dyDescent="0.15">
      <c r="B2" s="9" t="s">
        <v>9</v>
      </c>
      <c r="C2" s="15"/>
      <c r="D2" s="9" t="s">
        <v>12</v>
      </c>
      <c r="E2" s="9" t="s">
        <v>15</v>
      </c>
      <c r="F2" s="4" t="s">
        <v>8</v>
      </c>
      <c r="G2" s="4" t="s">
        <v>3</v>
      </c>
      <c r="H2" s="4" t="s">
        <v>4</v>
      </c>
      <c r="I2" s="4" t="s">
        <v>5</v>
      </c>
      <c r="J2" s="4" t="s">
        <v>6</v>
      </c>
    </row>
    <row r="3" spans="2:12" x14ac:dyDescent="0.15">
      <c r="B3" s="2">
        <v>1</v>
      </c>
      <c r="C3" s="2">
        <f>B3+1</f>
        <v>2</v>
      </c>
      <c r="D3" s="3">
        <f>C3^0.5</f>
        <v>1.4142135623730951</v>
      </c>
      <c r="E3" s="3">
        <f>2*D3/3^0.5</f>
        <v>1.6329931618554523</v>
      </c>
      <c r="F3" s="5">
        <f>(2+8*B3)/E3^3</f>
        <v>2.2963966338592283</v>
      </c>
      <c r="G3" s="5">
        <f>F3*2</f>
        <v>4.5927932677184566</v>
      </c>
      <c r="H3" s="5">
        <f>F3*3</f>
        <v>6.8891899015776854</v>
      </c>
      <c r="I3" s="5">
        <f>F3*4</f>
        <v>9.1855865354369133</v>
      </c>
      <c r="J3" s="5">
        <f>F3*5</f>
        <v>11.481983169296141</v>
      </c>
      <c r="L3" t="s">
        <v>12</v>
      </c>
    </row>
    <row r="4" spans="2:12" x14ac:dyDescent="0.15">
      <c r="B4" s="2">
        <v>2</v>
      </c>
      <c r="C4" s="2">
        <f t="shared" ref="C4:C67" si="0">B4+1</f>
        <v>3</v>
      </c>
      <c r="D4" s="3">
        <f t="shared" ref="D4:D67" si="1">C4^0.5</f>
        <v>1.7320508075688772</v>
      </c>
      <c r="E4" s="3">
        <f t="shared" ref="E4:E67" si="2">2*D4/3^0.5</f>
        <v>2</v>
      </c>
      <c r="F4" s="5">
        <f t="shared" ref="F4:F67" si="3">(2+8*B4)/E4^3</f>
        <v>2.25</v>
      </c>
      <c r="G4" s="5">
        <f t="shared" ref="G4:G67" si="4">F4*2</f>
        <v>4.5</v>
      </c>
      <c r="H4" s="5">
        <f t="shared" ref="H4:H67" si="5">F4*3</f>
        <v>6.75</v>
      </c>
      <c r="I4" s="5">
        <f t="shared" ref="I4:I67" si="6">F4*4</f>
        <v>9</v>
      </c>
      <c r="J4" s="5">
        <f t="shared" ref="J4:J67" si="7">F4*5</f>
        <v>11.25</v>
      </c>
      <c r="L4" t="s">
        <v>13</v>
      </c>
    </row>
    <row r="5" spans="2:12" x14ac:dyDescent="0.15">
      <c r="B5" s="2">
        <v>3</v>
      </c>
      <c r="C5" s="2">
        <f t="shared" si="0"/>
        <v>4</v>
      </c>
      <c r="D5" s="3">
        <f t="shared" si="1"/>
        <v>2</v>
      </c>
      <c r="E5" s="3">
        <f t="shared" si="2"/>
        <v>2.3094010767585034</v>
      </c>
      <c r="F5" s="5">
        <f t="shared" si="3"/>
        <v>2.1109369217245684</v>
      </c>
      <c r="G5" s="5">
        <f t="shared" si="4"/>
        <v>4.2218738434491367</v>
      </c>
      <c r="H5" s="5">
        <f t="shared" si="5"/>
        <v>6.3328107651737051</v>
      </c>
      <c r="I5" s="5">
        <f t="shared" si="6"/>
        <v>8.4437476868982735</v>
      </c>
      <c r="J5" s="5">
        <f t="shared" si="7"/>
        <v>10.554684608622843</v>
      </c>
      <c r="L5" t="s">
        <v>14</v>
      </c>
    </row>
    <row r="6" spans="2:12" x14ac:dyDescent="0.15">
      <c r="B6" s="2">
        <v>4</v>
      </c>
      <c r="C6" s="2">
        <f t="shared" si="0"/>
        <v>5</v>
      </c>
      <c r="D6" s="3">
        <f t="shared" si="1"/>
        <v>2.2360679774997898</v>
      </c>
      <c r="E6" s="3">
        <f t="shared" si="2"/>
        <v>2.5819888974716116</v>
      </c>
      <c r="F6" s="5">
        <f t="shared" si="3"/>
        <v>1.9752215065657819</v>
      </c>
      <c r="G6" s="5">
        <f t="shared" si="4"/>
        <v>3.9504430131315638</v>
      </c>
      <c r="H6" s="5">
        <f t="shared" si="5"/>
        <v>5.9256645196973459</v>
      </c>
      <c r="I6" s="5">
        <f t="shared" si="6"/>
        <v>7.9008860262631275</v>
      </c>
      <c r="J6" s="5">
        <f t="shared" si="7"/>
        <v>9.8761075328289092</v>
      </c>
    </row>
    <row r="7" spans="2:12" x14ac:dyDescent="0.15">
      <c r="B7" s="2">
        <v>5</v>
      </c>
      <c r="C7" s="2">
        <f t="shared" si="0"/>
        <v>6</v>
      </c>
      <c r="D7" s="3">
        <f t="shared" si="1"/>
        <v>2.4494897427831779</v>
      </c>
      <c r="E7" s="3">
        <f t="shared" si="2"/>
        <v>2.8284271247461898</v>
      </c>
      <c r="F7" s="5">
        <f t="shared" si="3"/>
        <v>1.8561553006146878</v>
      </c>
      <c r="G7" s="5">
        <f t="shared" si="4"/>
        <v>3.7123106012293756</v>
      </c>
      <c r="H7" s="5">
        <f t="shared" si="5"/>
        <v>5.5684659018440632</v>
      </c>
      <c r="I7" s="5">
        <f t="shared" si="6"/>
        <v>7.4246212024587512</v>
      </c>
      <c r="J7" s="5">
        <f t="shared" si="7"/>
        <v>9.2807765030734384</v>
      </c>
      <c r="L7" t="s">
        <v>15</v>
      </c>
    </row>
    <row r="8" spans="2:12" x14ac:dyDescent="0.15">
      <c r="B8" s="2">
        <v>6</v>
      </c>
      <c r="C8" s="2">
        <f t="shared" si="0"/>
        <v>7</v>
      </c>
      <c r="D8" s="3">
        <f t="shared" si="1"/>
        <v>2.6457513110645907</v>
      </c>
      <c r="E8" s="3">
        <f t="shared" si="2"/>
        <v>3.0550504633038935</v>
      </c>
      <c r="F8" s="5">
        <f t="shared" si="3"/>
        <v>1.7535366179677956</v>
      </c>
      <c r="G8" s="5">
        <f t="shared" si="4"/>
        <v>3.5070732359355912</v>
      </c>
      <c r="H8" s="5">
        <f t="shared" si="5"/>
        <v>5.2606098539033868</v>
      </c>
      <c r="I8" s="5">
        <f t="shared" si="6"/>
        <v>7.0141464718711823</v>
      </c>
      <c r="J8" s="5">
        <f t="shared" si="7"/>
        <v>8.7676830898389788</v>
      </c>
      <c r="L8" t="s">
        <v>30</v>
      </c>
    </row>
    <row r="9" spans="2:12" x14ac:dyDescent="0.15">
      <c r="B9" s="2">
        <v>7</v>
      </c>
      <c r="C9" s="2">
        <f t="shared" si="0"/>
        <v>8</v>
      </c>
      <c r="D9" s="3">
        <f t="shared" si="1"/>
        <v>2.8284271247461903</v>
      </c>
      <c r="E9" s="3">
        <f t="shared" si="2"/>
        <v>3.2659863237109046</v>
      </c>
      <c r="F9" s="5">
        <f t="shared" si="3"/>
        <v>1.6648875595479407</v>
      </c>
      <c r="G9" s="10">
        <f t="shared" si="4"/>
        <v>3.3297751190958813</v>
      </c>
      <c r="H9" s="5">
        <f t="shared" si="5"/>
        <v>4.994662678643822</v>
      </c>
      <c r="I9" s="5">
        <f t="shared" si="6"/>
        <v>6.6595502381917626</v>
      </c>
      <c r="J9" s="5">
        <f t="shared" si="7"/>
        <v>8.3244377977397033</v>
      </c>
      <c r="L9" t="s">
        <v>21</v>
      </c>
    </row>
    <row r="10" spans="2:12" x14ac:dyDescent="0.15">
      <c r="B10" s="2">
        <v>8</v>
      </c>
      <c r="C10" s="2">
        <f t="shared" si="0"/>
        <v>9</v>
      </c>
      <c r="D10" s="3">
        <f t="shared" si="1"/>
        <v>3</v>
      </c>
      <c r="E10" s="3">
        <f t="shared" si="2"/>
        <v>3.4641016151377548</v>
      </c>
      <c r="F10" s="5">
        <f t="shared" si="3"/>
        <v>1.5877132402714704</v>
      </c>
      <c r="G10" s="5">
        <f t="shared" si="4"/>
        <v>3.1754264805429409</v>
      </c>
      <c r="H10" s="5">
        <f t="shared" si="5"/>
        <v>4.7631397208144115</v>
      </c>
      <c r="I10" s="5">
        <f t="shared" si="6"/>
        <v>6.3508529610858817</v>
      </c>
      <c r="J10" s="5">
        <f t="shared" si="7"/>
        <v>7.9385662013573519</v>
      </c>
      <c r="L10" t="s">
        <v>17</v>
      </c>
    </row>
    <row r="11" spans="2:12" x14ac:dyDescent="0.15">
      <c r="B11" s="2">
        <v>9</v>
      </c>
      <c r="C11" s="2">
        <f t="shared" si="0"/>
        <v>10</v>
      </c>
      <c r="D11" s="3">
        <f t="shared" si="1"/>
        <v>3.1622776601683795</v>
      </c>
      <c r="E11" s="3">
        <f t="shared" si="2"/>
        <v>3.6514837167011081</v>
      </c>
      <c r="F11" s="5">
        <f t="shared" si="3"/>
        <v>1.5199300970768352</v>
      </c>
      <c r="G11" s="5">
        <f t="shared" si="4"/>
        <v>3.0398601941536705</v>
      </c>
      <c r="H11" s="5">
        <f t="shared" si="5"/>
        <v>4.5597902912305059</v>
      </c>
      <c r="I11" s="5">
        <f t="shared" si="6"/>
        <v>6.079720388307341</v>
      </c>
      <c r="J11" s="5">
        <f t="shared" si="7"/>
        <v>7.599650485384176</v>
      </c>
      <c r="L11" t="s">
        <v>16</v>
      </c>
    </row>
    <row r="12" spans="2:12" x14ac:dyDescent="0.15">
      <c r="B12" s="2">
        <v>10</v>
      </c>
      <c r="C12" s="2">
        <f t="shared" si="0"/>
        <v>11</v>
      </c>
      <c r="D12" s="3">
        <f t="shared" si="1"/>
        <v>3.3166247903553998</v>
      </c>
      <c r="E12" s="3">
        <f t="shared" si="2"/>
        <v>3.8297084310253524</v>
      </c>
      <c r="F12" s="5">
        <f t="shared" si="3"/>
        <v>1.459878523810284</v>
      </c>
      <c r="G12" s="5">
        <f t="shared" si="4"/>
        <v>2.9197570476205681</v>
      </c>
      <c r="H12" s="5">
        <f t="shared" si="5"/>
        <v>4.3796355714308524</v>
      </c>
      <c r="I12" s="5">
        <f t="shared" si="6"/>
        <v>5.8395140952411362</v>
      </c>
      <c r="J12" s="5">
        <f t="shared" si="7"/>
        <v>7.29939261905142</v>
      </c>
      <c r="L12" t="s">
        <v>18</v>
      </c>
    </row>
    <row r="13" spans="2:12" x14ac:dyDescent="0.15">
      <c r="B13" s="2">
        <v>11</v>
      </c>
      <c r="C13" s="2">
        <f t="shared" si="0"/>
        <v>12</v>
      </c>
      <c r="D13" s="3">
        <f t="shared" si="1"/>
        <v>3.4641016151377544</v>
      </c>
      <c r="E13" s="3">
        <f t="shared" si="2"/>
        <v>4</v>
      </c>
      <c r="F13" s="5">
        <f t="shared" si="3"/>
        <v>1.40625</v>
      </c>
      <c r="G13" s="5">
        <f t="shared" si="4"/>
        <v>2.8125</v>
      </c>
      <c r="H13" s="5">
        <f t="shared" si="5"/>
        <v>4.21875</v>
      </c>
      <c r="I13" s="5">
        <f t="shared" si="6"/>
        <v>5.625</v>
      </c>
      <c r="J13" s="5">
        <f t="shared" si="7"/>
        <v>7.03125</v>
      </c>
      <c r="L13" t="s">
        <v>19</v>
      </c>
    </row>
    <row r="14" spans="2:12" x14ac:dyDescent="0.15">
      <c r="B14" s="2">
        <v>12</v>
      </c>
      <c r="C14" s="2">
        <f t="shared" si="0"/>
        <v>13</v>
      </c>
      <c r="D14" s="3">
        <f t="shared" si="1"/>
        <v>3.6055512754639891</v>
      </c>
      <c r="E14" s="3">
        <f t="shared" si="2"/>
        <v>4.1633319989322652</v>
      </c>
      <c r="F14" s="5">
        <f t="shared" si="3"/>
        <v>1.3580099197700659</v>
      </c>
      <c r="G14" s="5">
        <f t="shared" si="4"/>
        <v>2.7160198395401318</v>
      </c>
      <c r="H14" s="5">
        <f t="shared" si="5"/>
        <v>4.0740297593101982</v>
      </c>
      <c r="I14" s="5">
        <f t="shared" si="6"/>
        <v>5.4320396790802636</v>
      </c>
      <c r="J14" s="5">
        <f t="shared" si="7"/>
        <v>6.7900495988503291</v>
      </c>
    </row>
    <row r="15" spans="2:12" x14ac:dyDescent="0.15">
      <c r="B15" s="2">
        <v>13</v>
      </c>
      <c r="C15" s="2">
        <f t="shared" si="0"/>
        <v>14</v>
      </c>
      <c r="D15" s="3">
        <f t="shared" si="1"/>
        <v>3.7416573867739413</v>
      </c>
      <c r="E15" s="3">
        <f t="shared" si="2"/>
        <v>4.3204937989385739</v>
      </c>
      <c r="F15" s="5">
        <f t="shared" si="3"/>
        <v>1.3143338916413896</v>
      </c>
      <c r="G15" s="5">
        <f t="shared" si="4"/>
        <v>2.6286677832827792</v>
      </c>
      <c r="H15" s="5">
        <f t="shared" si="5"/>
        <v>3.9430016749241688</v>
      </c>
      <c r="I15" s="5">
        <f t="shared" si="6"/>
        <v>5.2573355665655583</v>
      </c>
      <c r="J15" s="5">
        <f t="shared" si="7"/>
        <v>6.5716694582069479</v>
      </c>
      <c r="L15" t="s">
        <v>22</v>
      </c>
    </row>
    <row r="16" spans="2:12" x14ac:dyDescent="0.15">
      <c r="B16" s="2">
        <v>14</v>
      </c>
      <c r="C16" s="2">
        <f t="shared" si="0"/>
        <v>15</v>
      </c>
      <c r="D16" s="3">
        <f t="shared" si="1"/>
        <v>3.872983346207417</v>
      </c>
      <c r="E16" s="3">
        <f t="shared" si="2"/>
        <v>4.4721359549995796</v>
      </c>
      <c r="F16" s="5">
        <f t="shared" si="3"/>
        <v>1.2745587471748798</v>
      </c>
      <c r="G16" s="5">
        <f t="shared" si="4"/>
        <v>2.5491174943497596</v>
      </c>
      <c r="H16" s="5">
        <f t="shared" si="5"/>
        <v>3.8236762415246393</v>
      </c>
      <c r="I16" s="5">
        <f t="shared" si="6"/>
        <v>5.0982349886995193</v>
      </c>
      <c r="J16" s="5">
        <f t="shared" si="7"/>
        <v>6.3727937358743993</v>
      </c>
      <c r="L16" t="s">
        <v>23</v>
      </c>
    </row>
    <row r="17" spans="2:12" x14ac:dyDescent="0.15">
      <c r="B17" s="2">
        <v>15</v>
      </c>
      <c r="C17" s="2">
        <f t="shared" si="0"/>
        <v>16</v>
      </c>
      <c r="D17" s="3">
        <f t="shared" si="1"/>
        <v>4</v>
      </c>
      <c r="E17" s="3">
        <f t="shared" si="2"/>
        <v>4.6188021535170067</v>
      </c>
      <c r="F17" s="5">
        <f t="shared" si="3"/>
        <v>1.238145694473064</v>
      </c>
      <c r="G17" s="5">
        <f t="shared" si="4"/>
        <v>2.476291388946128</v>
      </c>
      <c r="H17" s="5">
        <f t="shared" si="5"/>
        <v>3.7144370834191918</v>
      </c>
      <c r="I17" s="5">
        <f t="shared" si="6"/>
        <v>4.952582777892256</v>
      </c>
      <c r="J17" s="5">
        <f t="shared" si="7"/>
        <v>6.1907284723653202</v>
      </c>
      <c r="L17" t="s">
        <v>24</v>
      </c>
    </row>
    <row r="18" spans="2:12" x14ac:dyDescent="0.15">
      <c r="B18" s="2">
        <v>16</v>
      </c>
      <c r="C18" s="2">
        <f t="shared" si="0"/>
        <v>17</v>
      </c>
      <c r="D18" s="3">
        <f t="shared" si="1"/>
        <v>4.1231056256176606</v>
      </c>
      <c r="E18" s="3">
        <f t="shared" si="2"/>
        <v>4.7609522856952333</v>
      </c>
      <c r="F18" s="5">
        <f t="shared" si="3"/>
        <v>1.204652719347626</v>
      </c>
      <c r="G18" s="5">
        <f t="shared" si="4"/>
        <v>2.4093054386952519</v>
      </c>
      <c r="H18" s="5">
        <f t="shared" si="5"/>
        <v>3.6139581580428777</v>
      </c>
      <c r="I18" s="5">
        <f t="shared" si="6"/>
        <v>4.8186108773905039</v>
      </c>
      <c r="J18" s="5">
        <f t="shared" si="7"/>
        <v>6.0232635967381301</v>
      </c>
      <c r="L18" t="s">
        <v>25</v>
      </c>
    </row>
    <row r="19" spans="2:12" x14ac:dyDescent="0.15">
      <c r="B19" s="2">
        <v>17</v>
      </c>
      <c r="C19" s="2">
        <f t="shared" si="0"/>
        <v>18</v>
      </c>
      <c r="D19" s="3">
        <f t="shared" si="1"/>
        <v>4.2426406871192848</v>
      </c>
      <c r="E19" s="3">
        <f t="shared" si="2"/>
        <v>4.8989794855663558</v>
      </c>
      <c r="F19" s="5">
        <f t="shared" si="3"/>
        <v>1.1737138350836065</v>
      </c>
      <c r="G19" s="5">
        <f t="shared" si="4"/>
        <v>2.347427670167213</v>
      </c>
      <c r="H19" s="5">
        <f t="shared" si="5"/>
        <v>3.5211415052508195</v>
      </c>
      <c r="I19" s="5">
        <f t="shared" si="6"/>
        <v>4.694855340334426</v>
      </c>
      <c r="J19" s="5">
        <f t="shared" si="7"/>
        <v>5.8685691754180329</v>
      </c>
      <c r="L19" t="s">
        <v>26</v>
      </c>
    </row>
    <row r="20" spans="2:12" x14ac:dyDescent="0.15">
      <c r="B20" s="2">
        <v>18</v>
      </c>
      <c r="C20" s="2">
        <f t="shared" si="0"/>
        <v>19</v>
      </c>
      <c r="D20" s="3">
        <f t="shared" si="1"/>
        <v>4.358898943540674</v>
      </c>
      <c r="E20" s="3">
        <f t="shared" si="2"/>
        <v>5.0332229568471671</v>
      </c>
      <c r="F20" s="5">
        <f t="shared" si="3"/>
        <v>1.1450233665680702</v>
      </c>
      <c r="G20" s="5">
        <f t="shared" si="4"/>
        <v>2.2900467331361405</v>
      </c>
      <c r="H20" s="5">
        <f t="shared" si="5"/>
        <v>3.4350700997042107</v>
      </c>
      <c r="I20" s="5">
        <f t="shared" si="6"/>
        <v>4.580093466272281</v>
      </c>
      <c r="J20" s="5">
        <f t="shared" si="7"/>
        <v>5.7251168328403512</v>
      </c>
      <c r="L20" t="s">
        <v>27</v>
      </c>
    </row>
    <row r="21" spans="2:12" x14ac:dyDescent="0.15">
      <c r="B21" s="2">
        <v>19</v>
      </c>
      <c r="C21" s="2">
        <f t="shared" si="0"/>
        <v>20</v>
      </c>
      <c r="D21" s="3">
        <f t="shared" si="1"/>
        <v>4.4721359549995796</v>
      </c>
      <c r="E21" s="3">
        <f t="shared" si="2"/>
        <v>5.1639777949432233</v>
      </c>
      <c r="F21" s="5">
        <f t="shared" si="3"/>
        <v>1.1183239412173911</v>
      </c>
      <c r="G21" s="5">
        <f t="shared" si="4"/>
        <v>2.2366478824347822</v>
      </c>
      <c r="H21" s="10">
        <f t="shared" si="5"/>
        <v>3.3549718236521731</v>
      </c>
      <c r="I21" s="5">
        <f t="shared" si="6"/>
        <v>4.4732957648695644</v>
      </c>
      <c r="J21" s="5">
        <f t="shared" si="7"/>
        <v>5.5916197060869557</v>
      </c>
      <c r="L21" t="s">
        <v>28</v>
      </c>
    </row>
    <row r="22" spans="2:12" x14ac:dyDescent="0.15">
      <c r="B22" s="2">
        <v>20</v>
      </c>
      <c r="C22" s="2">
        <f t="shared" si="0"/>
        <v>21</v>
      </c>
      <c r="D22" s="3">
        <f t="shared" si="1"/>
        <v>4.5825756949558398</v>
      </c>
      <c r="E22" s="3">
        <f t="shared" si="2"/>
        <v>5.2915026221291814</v>
      </c>
      <c r="F22" s="5">
        <f t="shared" si="3"/>
        <v>1.0933972254909787</v>
      </c>
      <c r="G22" s="5">
        <f t="shared" si="4"/>
        <v>2.1867944509819575</v>
      </c>
      <c r="H22" s="5">
        <f t="shared" si="5"/>
        <v>3.2801916764729362</v>
      </c>
      <c r="I22" s="5">
        <f t="shared" si="6"/>
        <v>4.3735889019639149</v>
      </c>
      <c r="J22" s="5">
        <f t="shared" si="7"/>
        <v>5.4669861274548932</v>
      </c>
      <c r="L22" t="s">
        <v>29</v>
      </c>
    </row>
    <row r="23" spans="2:12" x14ac:dyDescent="0.15">
      <c r="B23" s="2">
        <v>21</v>
      </c>
      <c r="C23" s="2">
        <f t="shared" si="0"/>
        <v>22</v>
      </c>
      <c r="D23" s="3">
        <f t="shared" si="1"/>
        <v>4.6904157598234297</v>
      </c>
      <c r="E23" s="3">
        <f t="shared" si="2"/>
        <v>5.4160256030906408</v>
      </c>
      <c r="F23" s="5">
        <f t="shared" si="3"/>
        <v>1.0700567113544261</v>
      </c>
      <c r="G23" s="5">
        <f t="shared" si="4"/>
        <v>2.1401134227088523</v>
      </c>
      <c r="H23" s="5">
        <f t="shared" si="5"/>
        <v>3.2101701340632784</v>
      </c>
      <c r="I23" s="5">
        <f t="shared" si="6"/>
        <v>4.2802268454177046</v>
      </c>
      <c r="J23" s="5">
        <f t="shared" si="7"/>
        <v>5.3502835567721307</v>
      </c>
    </row>
    <row r="24" spans="2:12" x14ac:dyDescent="0.15">
      <c r="B24" s="2">
        <v>22</v>
      </c>
      <c r="C24" s="2">
        <f t="shared" si="0"/>
        <v>23</v>
      </c>
      <c r="D24" s="3">
        <f t="shared" si="1"/>
        <v>4.7958315233127191</v>
      </c>
      <c r="E24" s="3">
        <f t="shared" si="2"/>
        <v>5.5377492419453826</v>
      </c>
      <c r="F24" s="5">
        <f t="shared" si="3"/>
        <v>1.0481420469750127</v>
      </c>
      <c r="G24" s="5">
        <f t="shared" si="4"/>
        <v>2.0962840939500254</v>
      </c>
      <c r="H24" s="5">
        <f t="shared" si="5"/>
        <v>3.144426140925038</v>
      </c>
      <c r="I24" s="5">
        <f t="shared" si="6"/>
        <v>4.1925681879000507</v>
      </c>
      <c r="J24" s="5">
        <f t="shared" si="7"/>
        <v>5.2407102348750634</v>
      </c>
    </row>
    <row r="25" spans="2:12" x14ac:dyDescent="0.15">
      <c r="B25" s="2">
        <v>23</v>
      </c>
      <c r="C25" s="2">
        <f t="shared" si="0"/>
        <v>24</v>
      </c>
      <c r="D25" s="3">
        <f t="shared" si="1"/>
        <v>4.8989794855663558</v>
      </c>
      <c r="E25" s="3">
        <f t="shared" si="2"/>
        <v>5.6568542494923797</v>
      </c>
      <c r="F25" s="5">
        <f t="shared" si="3"/>
        <v>1.0275145414117022</v>
      </c>
      <c r="G25" s="5">
        <f t="shared" si="4"/>
        <v>2.0550290828234044</v>
      </c>
      <c r="H25" s="5">
        <f t="shared" si="5"/>
        <v>3.0825436242351065</v>
      </c>
      <c r="I25" s="5">
        <f t="shared" si="6"/>
        <v>4.1100581656468087</v>
      </c>
      <c r="J25" s="5">
        <f t="shared" si="7"/>
        <v>5.1375727070585109</v>
      </c>
    </row>
    <row r="26" spans="2:12" x14ac:dyDescent="0.15">
      <c r="B26" s="2">
        <v>24</v>
      </c>
      <c r="C26" s="2">
        <f t="shared" si="0"/>
        <v>25</v>
      </c>
      <c r="D26" s="3">
        <f t="shared" si="1"/>
        <v>5</v>
      </c>
      <c r="E26" s="3">
        <f t="shared" si="2"/>
        <v>5.7735026918962582</v>
      </c>
      <c r="F26" s="5">
        <f t="shared" si="3"/>
        <v>1.0080535700050863</v>
      </c>
      <c r="G26" s="5">
        <f t="shared" si="4"/>
        <v>2.0161071400101727</v>
      </c>
      <c r="H26" s="5">
        <f t="shared" si="5"/>
        <v>3.0241607100152592</v>
      </c>
      <c r="I26" s="5">
        <f t="shared" si="6"/>
        <v>4.0322142800203453</v>
      </c>
      <c r="J26" s="5">
        <f t="shared" si="7"/>
        <v>5.0402678500254314</v>
      </c>
    </row>
    <row r="27" spans="2:12" x14ac:dyDescent="0.15">
      <c r="B27" s="2">
        <v>25</v>
      </c>
      <c r="C27" s="2">
        <f t="shared" si="0"/>
        <v>26</v>
      </c>
      <c r="D27" s="3">
        <f t="shared" si="1"/>
        <v>5.0990195135927845</v>
      </c>
      <c r="E27" s="3">
        <f t="shared" si="2"/>
        <v>5.8878405775518976</v>
      </c>
      <c r="F27" s="5">
        <f t="shared" si="3"/>
        <v>0.98965367695907469</v>
      </c>
      <c r="G27" s="5">
        <f t="shared" si="4"/>
        <v>1.9793073539181494</v>
      </c>
      <c r="H27" s="5">
        <f t="shared" si="5"/>
        <v>2.9689610308772241</v>
      </c>
      <c r="I27" s="5">
        <f t="shared" si="6"/>
        <v>3.9586147078362988</v>
      </c>
      <c r="J27" s="5">
        <f t="shared" si="7"/>
        <v>4.948268384795373</v>
      </c>
    </row>
    <row r="28" spans="2:12" x14ac:dyDescent="0.15">
      <c r="B28" s="2">
        <v>26</v>
      </c>
      <c r="C28" s="2">
        <f t="shared" si="0"/>
        <v>27</v>
      </c>
      <c r="D28" s="3">
        <f t="shared" si="1"/>
        <v>5.196152422706632</v>
      </c>
      <c r="E28" s="3">
        <f t="shared" si="2"/>
        <v>6.0000000000000009</v>
      </c>
      <c r="F28" s="5">
        <f t="shared" si="3"/>
        <v>0.97222222222222177</v>
      </c>
      <c r="G28" s="5">
        <f t="shared" si="4"/>
        <v>1.9444444444444435</v>
      </c>
      <c r="H28" s="5">
        <f t="shared" si="5"/>
        <v>2.9166666666666652</v>
      </c>
      <c r="I28" s="5">
        <f t="shared" si="6"/>
        <v>3.8888888888888871</v>
      </c>
      <c r="J28" s="5">
        <f t="shared" si="7"/>
        <v>4.8611111111111089</v>
      </c>
    </row>
    <row r="29" spans="2:12" x14ac:dyDescent="0.15">
      <c r="B29" s="2">
        <v>27</v>
      </c>
      <c r="C29" s="2">
        <f t="shared" si="0"/>
        <v>28</v>
      </c>
      <c r="D29" s="3">
        <f t="shared" si="1"/>
        <v>5.2915026221291814</v>
      </c>
      <c r="E29" s="3">
        <f t="shared" si="2"/>
        <v>6.110100926607787</v>
      </c>
      <c r="F29" s="5">
        <f t="shared" si="3"/>
        <v>0.95567745679244864</v>
      </c>
      <c r="G29" s="5">
        <f t="shared" si="4"/>
        <v>1.9113549135848973</v>
      </c>
      <c r="H29" s="5">
        <f t="shared" si="5"/>
        <v>2.8670323703773457</v>
      </c>
      <c r="I29" s="5">
        <f t="shared" si="6"/>
        <v>3.8227098271697946</v>
      </c>
      <c r="J29" s="5">
        <f t="shared" si="7"/>
        <v>4.7783872839622434</v>
      </c>
    </row>
    <row r="30" spans="2:12" x14ac:dyDescent="0.15">
      <c r="B30" s="2">
        <v>28</v>
      </c>
      <c r="C30" s="2">
        <f t="shared" si="0"/>
        <v>29</v>
      </c>
      <c r="D30" s="3">
        <f t="shared" si="1"/>
        <v>5.3851648071345037</v>
      </c>
      <c r="E30" s="3">
        <f t="shared" si="2"/>
        <v>6.2182527020592104</v>
      </c>
      <c r="F30" s="5">
        <f t="shared" si="3"/>
        <v>0.93994693787072159</v>
      </c>
      <c r="G30" s="5">
        <f t="shared" si="4"/>
        <v>1.8798938757414432</v>
      </c>
      <c r="H30" s="5">
        <f t="shared" si="5"/>
        <v>2.8198408136121649</v>
      </c>
      <c r="I30" s="5">
        <f t="shared" si="6"/>
        <v>3.7597877514828864</v>
      </c>
      <c r="J30" s="5">
        <f t="shared" si="7"/>
        <v>4.6997346893536083</v>
      </c>
    </row>
    <row r="31" spans="2:12" x14ac:dyDescent="0.15">
      <c r="B31" s="2">
        <v>29</v>
      </c>
      <c r="C31" s="2">
        <f t="shared" si="0"/>
        <v>30</v>
      </c>
      <c r="D31" s="3">
        <f t="shared" si="1"/>
        <v>5.4772255750516612</v>
      </c>
      <c r="E31" s="3">
        <f t="shared" si="2"/>
        <v>6.324555320336759</v>
      </c>
      <c r="F31" s="5">
        <f t="shared" si="3"/>
        <v>0.92496621559925074</v>
      </c>
      <c r="G31" s="5">
        <f t="shared" si="4"/>
        <v>1.8499324311985015</v>
      </c>
      <c r="H31" s="5">
        <f t="shared" si="5"/>
        <v>2.7748986467977521</v>
      </c>
      <c r="I31" s="5">
        <f t="shared" si="6"/>
        <v>3.699864862397003</v>
      </c>
      <c r="J31" s="5">
        <f t="shared" si="7"/>
        <v>4.6248310779962534</v>
      </c>
    </row>
    <row r="32" spans="2:12" x14ac:dyDescent="0.15">
      <c r="B32" s="2">
        <v>30</v>
      </c>
      <c r="C32" s="2">
        <f t="shared" si="0"/>
        <v>31</v>
      </c>
      <c r="D32" s="3">
        <f t="shared" si="1"/>
        <v>5.5677643628300215</v>
      </c>
      <c r="E32" s="3">
        <f t="shared" si="2"/>
        <v>6.4291005073286369</v>
      </c>
      <c r="F32" s="5">
        <f t="shared" si="3"/>
        <v>0.91067773835599442</v>
      </c>
      <c r="G32" s="5">
        <f t="shared" si="4"/>
        <v>1.8213554767119888</v>
      </c>
      <c r="H32" s="5">
        <f t="shared" si="5"/>
        <v>2.7320332150679834</v>
      </c>
      <c r="I32" s="5">
        <f t="shared" si="6"/>
        <v>3.6427109534239777</v>
      </c>
      <c r="J32" s="5">
        <f t="shared" si="7"/>
        <v>4.553388691779972</v>
      </c>
    </row>
    <row r="33" spans="2:10" x14ac:dyDescent="0.15">
      <c r="B33" s="2">
        <v>31</v>
      </c>
      <c r="C33" s="2">
        <f t="shared" si="0"/>
        <v>32</v>
      </c>
      <c r="D33" s="3">
        <f t="shared" si="1"/>
        <v>5.6568542494923806</v>
      </c>
      <c r="E33" s="3">
        <f t="shared" si="2"/>
        <v>6.5319726474218092</v>
      </c>
      <c r="F33" s="5">
        <f t="shared" si="3"/>
        <v>0.89702993510126117</v>
      </c>
      <c r="G33" s="5">
        <f t="shared" si="4"/>
        <v>1.7940598702025223</v>
      </c>
      <c r="H33" s="5">
        <f t="shared" si="5"/>
        <v>2.6910898053037835</v>
      </c>
      <c r="I33" s="5">
        <f t="shared" si="6"/>
        <v>3.5881197404050447</v>
      </c>
      <c r="J33" s="5">
        <f t="shared" si="7"/>
        <v>4.4851496755063058</v>
      </c>
    </row>
    <row r="34" spans="2:10" x14ac:dyDescent="0.15">
      <c r="B34" s="2">
        <v>32</v>
      </c>
      <c r="C34" s="2">
        <f t="shared" si="0"/>
        <v>33</v>
      </c>
      <c r="D34" s="3">
        <f t="shared" si="1"/>
        <v>5.7445626465380286</v>
      </c>
      <c r="E34" s="3">
        <f t="shared" si="2"/>
        <v>6.6332495807107996</v>
      </c>
      <c r="F34" s="5">
        <f t="shared" si="3"/>
        <v>0.88397644205753423</v>
      </c>
      <c r="G34" s="5">
        <f t="shared" si="4"/>
        <v>1.7679528841150685</v>
      </c>
      <c r="H34" s="5">
        <f t="shared" si="5"/>
        <v>2.6519293261726027</v>
      </c>
      <c r="I34" s="5">
        <f t="shared" si="6"/>
        <v>3.5359057682301369</v>
      </c>
      <c r="J34" s="5">
        <f t="shared" si="7"/>
        <v>4.4198822102876711</v>
      </c>
    </row>
    <row r="35" spans="2:10" x14ac:dyDescent="0.15">
      <c r="B35" s="2">
        <v>33</v>
      </c>
      <c r="C35" s="2">
        <f t="shared" si="0"/>
        <v>34</v>
      </c>
      <c r="D35" s="3">
        <f t="shared" si="1"/>
        <v>5.8309518948453007</v>
      </c>
      <c r="E35" s="3">
        <f t="shared" si="2"/>
        <v>6.7330032922413858</v>
      </c>
      <c r="F35" s="5">
        <f t="shared" si="3"/>
        <v>0.87147544775226382</v>
      </c>
      <c r="G35" s="5">
        <f t="shared" si="4"/>
        <v>1.7429508955045276</v>
      </c>
      <c r="H35" s="5">
        <f t="shared" si="5"/>
        <v>2.6144263432567914</v>
      </c>
      <c r="I35" s="5">
        <f t="shared" si="6"/>
        <v>3.4859017910090553</v>
      </c>
      <c r="J35" s="5">
        <f t="shared" si="7"/>
        <v>4.3573772387613188</v>
      </c>
    </row>
    <row r="36" spans="2:10" x14ac:dyDescent="0.15">
      <c r="B36" s="2">
        <v>34</v>
      </c>
      <c r="C36" s="2">
        <f t="shared" si="0"/>
        <v>35</v>
      </c>
      <c r="D36" s="3">
        <f t="shared" si="1"/>
        <v>5.9160797830996161</v>
      </c>
      <c r="E36" s="3">
        <f t="shared" si="2"/>
        <v>6.8313005106397329</v>
      </c>
      <c r="F36" s="5">
        <f t="shared" si="3"/>
        <v>0.85948913567538643</v>
      </c>
      <c r="G36" s="5">
        <f t="shared" si="4"/>
        <v>1.7189782713507729</v>
      </c>
      <c r="H36" s="5">
        <f t="shared" si="5"/>
        <v>2.5784674070261593</v>
      </c>
      <c r="I36" s="5">
        <f t="shared" si="6"/>
        <v>3.4379565427015457</v>
      </c>
      <c r="J36" s="5">
        <f t="shared" si="7"/>
        <v>4.2974456783769321</v>
      </c>
    </row>
    <row r="37" spans="2:10" x14ac:dyDescent="0.15">
      <c r="B37" s="2">
        <v>35</v>
      </c>
      <c r="C37" s="2">
        <f t="shared" si="0"/>
        <v>36</v>
      </c>
      <c r="D37" s="3">
        <f t="shared" si="1"/>
        <v>6</v>
      </c>
      <c r="E37" s="3">
        <f t="shared" si="2"/>
        <v>6.9282032302755097</v>
      </c>
      <c r="F37" s="6">
        <f t="shared" si="3"/>
        <v>0.84798320787226267</v>
      </c>
      <c r="G37" s="5">
        <f t="shared" si="4"/>
        <v>1.6959664157445253</v>
      </c>
      <c r="H37" s="5">
        <f t="shared" si="5"/>
        <v>2.543949623616788</v>
      </c>
      <c r="I37" s="10">
        <f t="shared" si="6"/>
        <v>3.3919328314890507</v>
      </c>
      <c r="J37" s="5">
        <f t="shared" si="7"/>
        <v>4.2399160393613133</v>
      </c>
    </row>
    <row r="38" spans="2:10" x14ac:dyDescent="0.15">
      <c r="B38" s="2">
        <v>36</v>
      </c>
      <c r="C38" s="2">
        <f t="shared" si="0"/>
        <v>37</v>
      </c>
      <c r="D38" s="3">
        <f t="shared" si="1"/>
        <v>6.0827625302982193</v>
      </c>
      <c r="E38" s="3">
        <f t="shared" si="2"/>
        <v>7.0237691685684922</v>
      </c>
      <c r="F38" s="5">
        <f t="shared" si="3"/>
        <v>0.83692647598446712</v>
      </c>
      <c r="G38" s="5">
        <f t="shared" si="4"/>
        <v>1.6738529519689342</v>
      </c>
      <c r="H38" s="5">
        <f t="shared" si="5"/>
        <v>2.5107794279534015</v>
      </c>
      <c r="I38" s="5">
        <f t="shared" si="6"/>
        <v>3.3477059039378685</v>
      </c>
      <c r="J38" s="5">
        <f t="shared" si="7"/>
        <v>4.1846323799223359</v>
      </c>
    </row>
    <row r="39" spans="2:10" x14ac:dyDescent="0.15">
      <c r="B39" s="2">
        <v>37</v>
      </c>
      <c r="C39" s="2">
        <f t="shared" si="0"/>
        <v>38</v>
      </c>
      <c r="D39" s="3">
        <f t="shared" si="1"/>
        <v>6.164414002968976</v>
      </c>
      <c r="E39" s="3">
        <f t="shared" si="2"/>
        <v>7.1180521680208741</v>
      </c>
      <c r="F39" s="5">
        <f t="shared" si="3"/>
        <v>0.82629050877042876</v>
      </c>
      <c r="G39" s="5">
        <f t="shared" si="4"/>
        <v>1.6525810175408575</v>
      </c>
      <c r="H39" s="5">
        <f t="shared" si="5"/>
        <v>2.4788715263112864</v>
      </c>
      <c r="I39" s="5">
        <f t="shared" si="6"/>
        <v>3.305162035081715</v>
      </c>
      <c r="J39" s="5">
        <f t="shared" si="7"/>
        <v>4.1314525438521441</v>
      </c>
    </row>
    <row r="40" spans="2:10" x14ac:dyDescent="0.15">
      <c r="B40" s="2">
        <v>38</v>
      </c>
      <c r="C40" s="2">
        <f t="shared" si="0"/>
        <v>39</v>
      </c>
      <c r="D40" s="3">
        <f t="shared" si="1"/>
        <v>6.2449979983983983</v>
      </c>
      <c r="E40" s="3">
        <f t="shared" si="2"/>
        <v>7.2111025509279791</v>
      </c>
      <c r="F40" s="5">
        <f t="shared" si="3"/>
        <v>0.81604932713903888</v>
      </c>
      <c r="G40" s="5">
        <f t="shared" si="4"/>
        <v>1.6320986542780778</v>
      </c>
      <c r="H40" s="5">
        <f t="shared" si="5"/>
        <v>2.4481479814171165</v>
      </c>
      <c r="I40" s="5">
        <f t="shared" si="6"/>
        <v>3.2641973085561555</v>
      </c>
      <c r="J40" s="5">
        <f t="shared" si="7"/>
        <v>4.0802466356951941</v>
      </c>
    </row>
    <row r="41" spans="2:10" x14ac:dyDescent="0.15">
      <c r="B41" s="2">
        <v>39</v>
      </c>
      <c r="C41" s="2">
        <f t="shared" si="0"/>
        <v>40</v>
      </c>
      <c r="D41" s="3">
        <f t="shared" si="1"/>
        <v>6.324555320336759</v>
      </c>
      <c r="E41" s="3">
        <f t="shared" si="2"/>
        <v>7.3029674334022161</v>
      </c>
      <c r="F41" s="5">
        <f t="shared" si="3"/>
        <v>0.80617913932791607</v>
      </c>
      <c r="G41" s="5">
        <f t="shared" si="4"/>
        <v>1.6123582786558321</v>
      </c>
      <c r="H41" s="5">
        <f t="shared" si="5"/>
        <v>2.4185374179837482</v>
      </c>
      <c r="I41" s="5">
        <f t="shared" si="6"/>
        <v>3.2247165573116643</v>
      </c>
      <c r="J41" s="5">
        <f t="shared" si="7"/>
        <v>4.0308956966395808</v>
      </c>
    </row>
    <row r="42" spans="2:10" x14ac:dyDescent="0.15">
      <c r="B42" s="2">
        <v>40</v>
      </c>
      <c r="C42" s="2">
        <f t="shared" si="0"/>
        <v>41</v>
      </c>
      <c r="D42" s="3">
        <f t="shared" si="1"/>
        <v>6.4031242374328485</v>
      </c>
      <c r="E42" s="3">
        <f t="shared" si="2"/>
        <v>7.3936910042729451</v>
      </c>
      <c r="F42" s="5">
        <f t="shared" si="3"/>
        <v>0.79665811014213983</v>
      </c>
      <c r="G42" s="5">
        <f t="shared" si="4"/>
        <v>1.5933162202842797</v>
      </c>
      <c r="H42" s="5">
        <f t="shared" si="5"/>
        <v>2.3899743304264196</v>
      </c>
      <c r="I42" s="5">
        <f t="shared" si="6"/>
        <v>3.1866324405685593</v>
      </c>
      <c r="J42" s="5">
        <f t="shared" si="7"/>
        <v>3.983290550710699</v>
      </c>
    </row>
    <row r="43" spans="2:10" x14ac:dyDescent="0.15">
      <c r="B43" s="2">
        <v>41</v>
      </c>
      <c r="C43" s="2">
        <f t="shared" si="0"/>
        <v>42</v>
      </c>
      <c r="D43" s="3">
        <f t="shared" si="1"/>
        <v>6.4807406984078604</v>
      </c>
      <c r="E43" s="3">
        <f t="shared" si="2"/>
        <v>7.4833147735478835</v>
      </c>
      <c r="F43" s="5">
        <f t="shared" si="3"/>
        <v>0.78746615920625007</v>
      </c>
      <c r="G43" s="5">
        <f t="shared" si="4"/>
        <v>1.5749323184125001</v>
      </c>
      <c r="H43" s="5">
        <f t="shared" si="5"/>
        <v>2.3623984776187501</v>
      </c>
      <c r="I43" s="5">
        <f t="shared" si="6"/>
        <v>3.1498646368250003</v>
      </c>
      <c r="J43" s="5">
        <f t="shared" si="7"/>
        <v>3.9373307960312505</v>
      </c>
    </row>
    <row r="44" spans="2:10" x14ac:dyDescent="0.15">
      <c r="B44" s="2">
        <v>42</v>
      </c>
      <c r="C44" s="2">
        <f t="shared" si="0"/>
        <v>43</v>
      </c>
      <c r="D44" s="3">
        <f t="shared" si="1"/>
        <v>6.5574385243020004</v>
      </c>
      <c r="E44" s="3">
        <f t="shared" si="2"/>
        <v>7.5718777944003648</v>
      </c>
      <c r="F44" s="5">
        <f t="shared" si="3"/>
        <v>0.77858478402399633</v>
      </c>
      <c r="G44" s="5">
        <f t="shared" si="4"/>
        <v>1.5571695680479927</v>
      </c>
      <c r="H44" s="5">
        <f t="shared" si="5"/>
        <v>2.335754352071989</v>
      </c>
      <c r="I44" s="5">
        <f t="shared" si="6"/>
        <v>3.1143391360959853</v>
      </c>
      <c r="J44" s="5">
        <f t="shared" si="7"/>
        <v>3.8929239201199817</v>
      </c>
    </row>
    <row r="45" spans="2:10" x14ac:dyDescent="0.15">
      <c r="B45" s="2">
        <v>43</v>
      </c>
      <c r="C45" s="2">
        <f t="shared" si="0"/>
        <v>44</v>
      </c>
      <c r="D45" s="3">
        <f t="shared" si="1"/>
        <v>6.6332495807107996</v>
      </c>
      <c r="E45" s="3">
        <f t="shared" si="2"/>
        <v>7.6594168620507048</v>
      </c>
      <c r="F45" s="5">
        <f t="shared" si="3"/>
        <v>0.76999690432676571</v>
      </c>
      <c r="G45" s="5">
        <f t="shared" si="4"/>
        <v>1.5399938086535314</v>
      </c>
      <c r="H45" s="5">
        <f t="shared" si="5"/>
        <v>2.309990712980297</v>
      </c>
      <c r="I45" s="5">
        <f t="shared" si="6"/>
        <v>3.0799876173070628</v>
      </c>
      <c r="J45" s="5">
        <f t="shared" si="7"/>
        <v>3.8499845216338286</v>
      </c>
    </row>
    <row r="46" spans="2:10" x14ac:dyDescent="0.15">
      <c r="B46" s="2">
        <v>44</v>
      </c>
      <c r="C46" s="2">
        <f t="shared" si="0"/>
        <v>45</v>
      </c>
      <c r="D46" s="3">
        <f t="shared" si="1"/>
        <v>6.7082039324993694</v>
      </c>
      <c r="E46" s="3">
        <f t="shared" si="2"/>
        <v>7.7459666924148349</v>
      </c>
      <c r="F46" s="5">
        <f t="shared" si="3"/>
        <v>0.76168672475412491</v>
      </c>
      <c r="G46" s="5">
        <f t="shared" si="4"/>
        <v>1.5233734495082498</v>
      </c>
      <c r="H46" s="5">
        <f t="shared" si="5"/>
        <v>2.2850601742623748</v>
      </c>
      <c r="I46" s="5">
        <f t="shared" si="6"/>
        <v>3.0467468990164996</v>
      </c>
      <c r="J46" s="5">
        <f t="shared" si="7"/>
        <v>3.8084336237706244</v>
      </c>
    </row>
    <row r="47" spans="2:10" x14ac:dyDescent="0.15">
      <c r="B47" s="2">
        <v>45</v>
      </c>
      <c r="C47" s="2">
        <f t="shared" si="0"/>
        <v>46</v>
      </c>
      <c r="D47" s="3">
        <f t="shared" si="1"/>
        <v>6.7823299831252681</v>
      </c>
      <c r="E47" s="3">
        <f t="shared" si="2"/>
        <v>7.8315600829804879</v>
      </c>
      <c r="F47" s="5">
        <f t="shared" si="3"/>
        <v>0.75363961337282659</v>
      </c>
      <c r="G47" s="5">
        <f t="shared" si="4"/>
        <v>1.5072792267456532</v>
      </c>
      <c r="H47" s="5">
        <f t="shared" si="5"/>
        <v>2.2609188401184799</v>
      </c>
      <c r="I47" s="5">
        <f t="shared" si="6"/>
        <v>3.0145584534913064</v>
      </c>
      <c r="J47" s="5">
        <f t="shared" si="7"/>
        <v>3.7681980668641328</v>
      </c>
    </row>
    <row r="48" spans="2:10" x14ac:dyDescent="0.15">
      <c r="B48" s="2">
        <v>46</v>
      </c>
      <c r="C48" s="2">
        <f t="shared" si="0"/>
        <v>47</v>
      </c>
      <c r="D48" s="3">
        <f t="shared" si="1"/>
        <v>6.8556546004010439</v>
      </c>
      <c r="E48" s="3">
        <f t="shared" si="2"/>
        <v>7.9162280580252782</v>
      </c>
      <c r="F48" s="5">
        <f t="shared" si="3"/>
        <v>0.74584199392327344</v>
      </c>
      <c r="G48" s="5">
        <f t="shared" si="4"/>
        <v>1.4916839878465469</v>
      </c>
      <c r="H48" s="5">
        <f t="shared" si="5"/>
        <v>2.2375259817698203</v>
      </c>
      <c r="I48" s="5">
        <f t="shared" si="6"/>
        <v>2.9833679756930938</v>
      </c>
      <c r="J48" s="5">
        <f t="shared" si="7"/>
        <v>3.7292099696163672</v>
      </c>
    </row>
    <row r="49" spans="2:10" x14ac:dyDescent="0.15">
      <c r="B49" s="2">
        <v>47</v>
      </c>
      <c r="C49" s="2">
        <f t="shared" si="0"/>
        <v>48</v>
      </c>
      <c r="D49" s="3">
        <f t="shared" si="1"/>
        <v>6.9282032302755088</v>
      </c>
      <c r="E49" s="3">
        <f t="shared" si="2"/>
        <v>8</v>
      </c>
      <c r="F49" s="5">
        <f t="shared" si="3"/>
        <v>0.73828125</v>
      </c>
      <c r="G49" s="10">
        <f t="shared" si="4"/>
        <v>1.4765625</v>
      </c>
      <c r="H49" s="5">
        <f t="shared" si="5"/>
        <v>2.21484375</v>
      </c>
      <c r="I49" s="5">
        <f t="shared" si="6"/>
        <v>2.953125</v>
      </c>
      <c r="J49" s="5">
        <f t="shared" si="7"/>
        <v>3.69140625</v>
      </c>
    </row>
    <row r="50" spans="2:10" x14ac:dyDescent="0.15">
      <c r="B50" s="2">
        <v>48</v>
      </c>
      <c r="C50" s="2">
        <f t="shared" si="0"/>
        <v>49</v>
      </c>
      <c r="D50" s="3">
        <f t="shared" si="1"/>
        <v>7</v>
      </c>
      <c r="E50" s="3">
        <f t="shared" si="2"/>
        <v>8.0829037686547611</v>
      </c>
      <c r="F50" s="5">
        <f t="shared" si="3"/>
        <v>0.73094563963730308</v>
      </c>
      <c r="G50" s="5">
        <f t="shared" si="4"/>
        <v>1.4618912792746062</v>
      </c>
      <c r="H50" s="5">
        <f t="shared" si="5"/>
        <v>2.192836918911909</v>
      </c>
      <c r="I50" s="5">
        <f t="shared" si="6"/>
        <v>2.9237825585492123</v>
      </c>
      <c r="J50" s="5">
        <f t="shared" si="7"/>
        <v>3.6547281981865156</v>
      </c>
    </row>
    <row r="51" spans="2:10" x14ac:dyDescent="0.15">
      <c r="B51" s="2">
        <v>49</v>
      </c>
      <c r="C51" s="2">
        <f t="shared" si="0"/>
        <v>50</v>
      </c>
      <c r="D51" s="3">
        <f t="shared" si="1"/>
        <v>7.0710678118654755</v>
      </c>
      <c r="E51" s="3">
        <f t="shared" si="2"/>
        <v>8.1649658092772608</v>
      </c>
      <c r="F51" s="5">
        <f t="shared" si="3"/>
        <v>0.72382421899242899</v>
      </c>
      <c r="G51" s="5">
        <f t="shared" si="4"/>
        <v>1.447648437984858</v>
      </c>
      <c r="H51" s="5">
        <f t="shared" si="5"/>
        <v>2.1714726569772869</v>
      </c>
      <c r="I51" s="5">
        <f t="shared" si="6"/>
        <v>2.895296875969716</v>
      </c>
      <c r="J51" s="5">
        <f t="shared" si="7"/>
        <v>3.6191210949621451</v>
      </c>
    </row>
    <row r="52" spans="2:10" x14ac:dyDescent="0.15">
      <c r="B52" s="2">
        <v>50</v>
      </c>
      <c r="C52" s="2">
        <f t="shared" si="0"/>
        <v>51</v>
      </c>
      <c r="D52" s="3">
        <f t="shared" si="1"/>
        <v>7.1414284285428504</v>
      </c>
      <c r="E52" s="3">
        <f t="shared" si="2"/>
        <v>8.2462112512353229</v>
      </c>
      <c r="F52" s="5">
        <f t="shared" si="3"/>
        <v>0.71690677400445435</v>
      </c>
      <c r="G52" s="5">
        <f t="shared" si="4"/>
        <v>1.4338135480089087</v>
      </c>
      <c r="H52" s="5">
        <f t="shared" si="5"/>
        <v>2.1507203220133633</v>
      </c>
      <c r="I52" s="5">
        <f t="shared" si="6"/>
        <v>2.8676270960178174</v>
      </c>
      <c r="J52" s="5">
        <f t="shared" si="7"/>
        <v>3.5845338700222715</v>
      </c>
    </row>
    <row r="53" spans="2:10" x14ac:dyDescent="0.15">
      <c r="B53" s="2">
        <v>51</v>
      </c>
      <c r="C53" s="2">
        <f t="shared" si="0"/>
        <v>52</v>
      </c>
      <c r="D53" s="3">
        <f t="shared" si="1"/>
        <v>7.2111025509279782</v>
      </c>
      <c r="E53" s="3">
        <f t="shared" si="2"/>
        <v>8.3266639978645305</v>
      </c>
      <c r="F53" s="5">
        <f t="shared" si="3"/>
        <v>0.71018375906342734</v>
      </c>
      <c r="G53" s="5">
        <f t="shared" si="4"/>
        <v>1.4203675181268547</v>
      </c>
      <c r="H53" s="5">
        <f t="shared" si="5"/>
        <v>2.1305512771902819</v>
      </c>
      <c r="I53" s="5">
        <f t="shared" si="6"/>
        <v>2.8407350362537094</v>
      </c>
      <c r="J53" s="5">
        <f t="shared" si="7"/>
        <v>3.5509187953171368</v>
      </c>
    </row>
    <row r="54" spans="2:10" x14ac:dyDescent="0.15">
      <c r="B54" s="2">
        <v>52</v>
      </c>
      <c r="C54" s="2">
        <f t="shared" si="0"/>
        <v>53</v>
      </c>
      <c r="D54" s="3">
        <f t="shared" si="1"/>
        <v>7.2801098892805181</v>
      </c>
      <c r="E54" s="3">
        <f t="shared" si="2"/>
        <v>8.4063468086123283</v>
      </c>
      <c r="F54" s="5">
        <f t="shared" si="3"/>
        <v>0.70364624185652314</v>
      </c>
      <c r="G54" s="5">
        <f t="shared" si="4"/>
        <v>1.4072924837130463</v>
      </c>
      <c r="H54" s="5">
        <f t="shared" si="5"/>
        <v>2.1109387255695693</v>
      </c>
      <c r="I54" s="5">
        <f t="shared" si="6"/>
        <v>2.8145849674260925</v>
      </c>
      <c r="J54" s="5">
        <f t="shared" si="7"/>
        <v>3.5182312092826158</v>
      </c>
    </row>
    <row r="55" spans="2:10" x14ac:dyDescent="0.15">
      <c r="B55" s="2">
        <v>53</v>
      </c>
      <c r="C55" s="2">
        <f t="shared" si="0"/>
        <v>54</v>
      </c>
      <c r="D55" s="3">
        <f t="shared" si="1"/>
        <v>7.3484692283495345</v>
      </c>
      <c r="E55" s="3">
        <f t="shared" si="2"/>
        <v>8.4852813742385713</v>
      </c>
      <c r="F55" s="5">
        <f t="shared" si="3"/>
        <v>0.69728585367006757</v>
      </c>
      <c r="G55" s="5">
        <f t="shared" si="4"/>
        <v>1.3945717073401351</v>
      </c>
      <c r="H55" s="5">
        <f t="shared" si="5"/>
        <v>2.0918575610102028</v>
      </c>
      <c r="I55" s="5">
        <f t="shared" si="6"/>
        <v>2.7891434146802703</v>
      </c>
      <c r="J55" s="5">
        <f t="shared" si="7"/>
        <v>3.4864292683503377</v>
      </c>
    </row>
    <row r="56" spans="2:10" x14ac:dyDescent="0.15">
      <c r="B56" s="2">
        <v>54</v>
      </c>
      <c r="C56" s="2">
        <f t="shared" si="0"/>
        <v>55</v>
      </c>
      <c r="D56" s="3">
        <f t="shared" si="1"/>
        <v>7.416198487095663</v>
      </c>
      <c r="E56" s="3">
        <f t="shared" si="2"/>
        <v>8.5634883857767541</v>
      </c>
      <c r="F56" s="5">
        <f t="shared" si="3"/>
        <v>0.69109474452156983</v>
      </c>
      <c r="G56" s="5">
        <f t="shared" si="4"/>
        <v>1.3821894890431397</v>
      </c>
      <c r="H56" s="5">
        <f t="shared" si="5"/>
        <v>2.0732842335647095</v>
      </c>
      <c r="I56" s="5">
        <f t="shared" si="6"/>
        <v>2.7643789780862793</v>
      </c>
      <c r="J56" s="5">
        <f t="shared" si="7"/>
        <v>3.4554737226078491</v>
      </c>
    </row>
    <row r="57" spans="2:10" x14ac:dyDescent="0.15">
      <c r="B57" s="2">
        <v>55</v>
      </c>
      <c r="C57" s="2">
        <f t="shared" si="0"/>
        <v>56</v>
      </c>
      <c r="D57" s="3">
        <f t="shared" si="1"/>
        <v>7.4833147735478827</v>
      </c>
      <c r="E57" s="3">
        <f t="shared" si="2"/>
        <v>8.6409875978771478</v>
      </c>
      <c r="F57" s="5">
        <f t="shared" si="3"/>
        <v>0.68506554257723373</v>
      </c>
      <c r="G57" s="5">
        <f t="shared" si="4"/>
        <v>1.3701310851544675</v>
      </c>
      <c r="H57" s="5">
        <f t="shared" si="5"/>
        <v>2.0551966277317013</v>
      </c>
      <c r="I57" s="5">
        <f t="shared" si="6"/>
        <v>2.7402621703089349</v>
      </c>
      <c r="J57" s="5">
        <f t="shared" si="7"/>
        <v>3.4253277128861686</v>
      </c>
    </row>
    <row r="58" spans="2:10" x14ac:dyDescent="0.15">
      <c r="B58" s="2">
        <v>56</v>
      </c>
      <c r="C58" s="2">
        <f t="shared" si="0"/>
        <v>57</v>
      </c>
      <c r="D58" s="3">
        <f t="shared" si="1"/>
        <v>7.5498344352707498</v>
      </c>
      <c r="E58" s="3">
        <f t="shared" si="2"/>
        <v>8.717797887081348</v>
      </c>
      <c r="F58" s="5">
        <f t="shared" si="3"/>
        <v>0.67919131737995242</v>
      </c>
      <c r="G58" s="5">
        <f t="shared" si="4"/>
        <v>1.3583826347599048</v>
      </c>
      <c r="H58" s="5">
        <f t="shared" si="5"/>
        <v>2.0375739521398573</v>
      </c>
      <c r="I58" s="5">
        <f t="shared" si="6"/>
        <v>2.7167652695198097</v>
      </c>
      <c r="J58" s="10">
        <f t="shared" si="7"/>
        <v>3.3959565868997621</v>
      </c>
    </row>
    <row r="59" spans="2:10" x14ac:dyDescent="0.15">
      <c r="B59" s="2">
        <v>57</v>
      </c>
      <c r="C59" s="2">
        <f t="shared" si="0"/>
        <v>58</v>
      </c>
      <c r="D59" s="3">
        <f t="shared" si="1"/>
        <v>7.6157731058639087</v>
      </c>
      <c r="E59" s="3">
        <f t="shared" si="2"/>
        <v>8.7939373055152803</v>
      </c>
      <c r="F59" s="5">
        <f t="shared" si="3"/>
        <v>0.67346554647246537</v>
      </c>
      <c r="G59" s="5">
        <f t="shared" si="4"/>
        <v>1.3469310929449307</v>
      </c>
      <c r="H59" s="5">
        <f t="shared" si="5"/>
        <v>2.0203966394173962</v>
      </c>
      <c r="I59" s="5">
        <f t="shared" si="6"/>
        <v>2.6938621858898615</v>
      </c>
      <c r="J59" s="5">
        <f t="shared" si="7"/>
        <v>3.3673277323623267</v>
      </c>
    </row>
    <row r="60" spans="2:10" x14ac:dyDescent="0.15">
      <c r="B60" s="2">
        <v>58</v>
      </c>
      <c r="C60" s="2">
        <f t="shared" si="0"/>
        <v>59</v>
      </c>
      <c r="D60" s="3">
        <f t="shared" si="1"/>
        <v>7.6811457478686078</v>
      </c>
      <c r="E60" s="3">
        <f t="shared" si="2"/>
        <v>8.8694231304333808</v>
      </c>
      <c r="F60" s="5">
        <f t="shared" si="3"/>
        <v>0.66788208505166602</v>
      </c>
      <c r="G60" s="5">
        <f t="shared" si="4"/>
        <v>1.335764170103332</v>
      </c>
      <c r="H60" s="5">
        <f t="shared" si="5"/>
        <v>2.0036462551549983</v>
      </c>
      <c r="I60" s="5">
        <f t="shared" si="6"/>
        <v>2.6715283402066641</v>
      </c>
      <c r="J60" s="5">
        <f t="shared" si="7"/>
        <v>3.3394104252583299</v>
      </c>
    </row>
    <row r="61" spans="2:10" x14ac:dyDescent="0.15">
      <c r="B61" s="2">
        <v>59</v>
      </c>
      <c r="C61" s="2">
        <f t="shared" si="0"/>
        <v>60</v>
      </c>
      <c r="D61" s="3">
        <f t="shared" si="1"/>
        <v>7.745966692414834</v>
      </c>
      <c r="E61" s="3">
        <f t="shared" si="2"/>
        <v>8.9442719099991592</v>
      </c>
      <c r="F61" s="5">
        <f t="shared" si="3"/>
        <v>0.66243513833431256</v>
      </c>
      <c r="G61" s="5">
        <f t="shared" si="4"/>
        <v>1.3248702766686251</v>
      </c>
      <c r="H61" s="5">
        <f t="shared" si="5"/>
        <v>1.9873054150029377</v>
      </c>
      <c r="I61" s="5">
        <f t="shared" si="6"/>
        <v>2.6497405533372502</v>
      </c>
      <c r="J61" s="5">
        <f t="shared" si="7"/>
        <v>3.3121756916715626</v>
      </c>
    </row>
    <row r="62" spans="2:10" x14ac:dyDescent="0.15">
      <c r="B62" s="2">
        <v>60</v>
      </c>
      <c r="C62" s="2">
        <f t="shared" si="0"/>
        <v>61</v>
      </c>
      <c r="D62" s="3">
        <f t="shared" si="1"/>
        <v>7.810249675906654</v>
      </c>
      <c r="E62" s="3">
        <f t="shared" si="2"/>
        <v>9.0184995056457886</v>
      </c>
      <c r="F62" s="5">
        <f t="shared" si="3"/>
        <v>0.65711923635265113</v>
      </c>
      <c r="G62" s="5">
        <f t="shared" si="4"/>
        <v>1.3142384727053023</v>
      </c>
      <c r="H62" s="5">
        <f t="shared" si="5"/>
        <v>1.9713577090579535</v>
      </c>
      <c r="I62" s="5">
        <f t="shared" si="6"/>
        <v>2.6284769454106045</v>
      </c>
      <c r="J62" s="5">
        <f t="shared" si="7"/>
        <v>3.2855961817632555</v>
      </c>
    </row>
    <row r="63" spans="2:10" x14ac:dyDescent="0.15">
      <c r="B63" s="2">
        <v>61</v>
      </c>
      <c r="C63" s="2">
        <f t="shared" si="0"/>
        <v>62</v>
      </c>
      <c r="D63" s="3">
        <f t="shared" si="1"/>
        <v>7.8740078740118111</v>
      </c>
      <c r="E63" s="3">
        <f t="shared" si="2"/>
        <v>9.0921211313239052</v>
      </c>
      <c r="F63" s="5">
        <f t="shared" si="3"/>
        <v>0.65192921093162071</v>
      </c>
      <c r="G63" s="5">
        <f t="shared" si="4"/>
        <v>1.3038584218632414</v>
      </c>
      <c r="H63" s="5">
        <f t="shared" si="5"/>
        <v>1.9557876327948622</v>
      </c>
      <c r="I63" s="5">
        <f t="shared" si="6"/>
        <v>2.6077168437264828</v>
      </c>
      <c r="J63" s="5">
        <f t="shared" si="7"/>
        <v>3.2596460546581034</v>
      </c>
    </row>
    <row r="64" spans="2:10" x14ac:dyDescent="0.15">
      <c r="B64" s="2">
        <v>62</v>
      </c>
      <c r="C64" s="2">
        <f t="shared" si="0"/>
        <v>63</v>
      </c>
      <c r="D64" s="3">
        <f t="shared" si="1"/>
        <v>7.9372539331937721</v>
      </c>
      <c r="E64" s="3">
        <f t="shared" si="2"/>
        <v>9.1651513899116814</v>
      </c>
      <c r="F64" s="5">
        <f t="shared" si="3"/>
        <v>0.64686017462811995</v>
      </c>
      <c r="G64" s="5">
        <f t="shared" si="4"/>
        <v>1.2937203492562399</v>
      </c>
      <c r="H64" s="5">
        <f t="shared" si="5"/>
        <v>1.9405805238843599</v>
      </c>
      <c r="I64" s="5">
        <f t="shared" si="6"/>
        <v>2.5874406985124798</v>
      </c>
      <c r="J64" s="5">
        <f t="shared" si="7"/>
        <v>3.2343008731406</v>
      </c>
    </row>
    <row r="65" spans="2:10" x14ac:dyDescent="0.15">
      <c r="B65" s="2">
        <v>63</v>
      </c>
      <c r="C65" s="2">
        <f t="shared" si="0"/>
        <v>64</v>
      </c>
      <c r="D65" s="3">
        <f t="shared" si="1"/>
        <v>8</v>
      </c>
      <c r="E65" s="3">
        <f t="shared" si="2"/>
        <v>9.2376043070340135</v>
      </c>
      <c r="F65" s="5">
        <f t="shared" si="3"/>
        <v>0.64190750143787956</v>
      </c>
      <c r="G65" s="5">
        <f t="shared" si="4"/>
        <v>1.2838150028757591</v>
      </c>
      <c r="H65" s="5">
        <f t="shared" si="5"/>
        <v>1.9257225043136388</v>
      </c>
      <c r="I65" s="5">
        <f t="shared" si="6"/>
        <v>2.5676300057515182</v>
      </c>
      <c r="J65" s="5">
        <f t="shared" si="7"/>
        <v>3.2095375071893977</v>
      </c>
    </row>
    <row r="66" spans="2:10" x14ac:dyDescent="0.15">
      <c r="B66" s="2">
        <v>64</v>
      </c>
      <c r="C66" s="2">
        <f t="shared" si="0"/>
        <v>65</v>
      </c>
      <c r="D66" s="3">
        <f t="shared" si="1"/>
        <v>8.0622577482985491</v>
      </c>
      <c r="E66" s="3">
        <f t="shared" si="2"/>
        <v>9.3094933625126277</v>
      </c>
      <c r="F66" s="5">
        <f t="shared" si="3"/>
        <v>0.63706680909738778</v>
      </c>
      <c r="G66" s="5">
        <f t="shared" si="4"/>
        <v>1.2741336181947756</v>
      </c>
      <c r="H66" s="5">
        <f t="shared" si="5"/>
        <v>1.9112004272921634</v>
      </c>
      <c r="I66" s="5">
        <f t="shared" si="6"/>
        <v>2.5482672363895511</v>
      </c>
      <c r="J66" s="5">
        <f t="shared" si="7"/>
        <v>3.1853340454869388</v>
      </c>
    </row>
    <row r="67" spans="2:10" x14ac:dyDescent="0.15">
      <c r="B67" s="2">
        <v>65</v>
      </c>
      <c r="C67" s="2">
        <f t="shared" si="0"/>
        <v>66</v>
      </c>
      <c r="D67" s="3">
        <f t="shared" si="1"/>
        <v>8.1240384046359608</v>
      </c>
      <c r="E67" s="3">
        <f t="shared" si="2"/>
        <v>9.3808315196468595</v>
      </c>
      <c r="F67" s="5">
        <f t="shared" si="3"/>
        <v>0.63233394282743549</v>
      </c>
      <c r="G67" s="5">
        <f t="shared" si="4"/>
        <v>1.264667885654871</v>
      </c>
      <c r="H67" s="5">
        <f t="shared" si="5"/>
        <v>1.8970018284823065</v>
      </c>
      <c r="I67" s="5">
        <f t="shared" si="6"/>
        <v>2.529335771309742</v>
      </c>
      <c r="J67" s="5">
        <f t="shared" si="7"/>
        <v>3.1616697141371777</v>
      </c>
    </row>
    <row r="68" spans="2:10" x14ac:dyDescent="0.15">
      <c r="B68" s="2">
        <v>66</v>
      </c>
      <c r="C68" s="2">
        <f t="shared" ref="C68:C102" si="8">B68+1</f>
        <v>67</v>
      </c>
      <c r="D68" s="3">
        <f t="shared" ref="D68:D102" si="9">C68^0.5</f>
        <v>8.1853527718724504</v>
      </c>
      <c r="E68" s="3">
        <f t="shared" ref="E68:E102" si="10">2*D68/3^0.5</f>
        <v>9.4516312525052175</v>
      </c>
      <c r="F68" s="5">
        <f t="shared" ref="F68:F102" si="11">(2+8*B68)/E68^3</f>
        <v>0.6277049603816256</v>
      </c>
      <c r="G68" s="5">
        <f t="shared" ref="G68:G102" si="12">F68*2</f>
        <v>1.2554099207632512</v>
      </c>
      <c r="H68" s="5">
        <f t="shared" ref="H68:H102" si="13">F68*3</f>
        <v>1.8831148811448768</v>
      </c>
      <c r="I68" s="5">
        <f t="shared" ref="I68:I102" si="14">F68*4</f>
        <v>2.5108198415265024</v>
      </c>
      <c r="J68" s="5">
        <f t="shared" ref="J68:J102" si="15">F68*5</f>
        <v>3.1385248019081278</v>
      </c>
    </row>
    <row r="69" spans="2:10" x14ac:dyDescent="0.15">
      <c r="B69" s="2">
        <v>67</v>
      </c>
      <c r="C69" s="2">
        <f t="shared" si="8"/>
        <v>68</v>
      </c>
      <c r="D69" s="3">
        <f t="shared" si="9"/>
        <v>8.2462112512353212</v>
      </c>
      <c r="E69" s="3">
        <f t="shared" si="10"/>
        <v>9.5219045713904666</v>
      </c>
      <c r="F69" s="5">
        <f t="shared" si="11"/>
        <v>0.62317611827790653</v>
      </c>
      <c r="G69" s="5">
        <f t="shared" si="12"/>
        <v>1.2463522365558131</v>
      </c>
      <c r="H69" s="5">
        <f t="shared" si="13"/>
        <v>1.8695283548337196</v>
      </c>
      <c r="I69" s="5">
        <f t="shared" si="14"/>
        <v>2.4927044731116261</v>
      </c>
      <c r="J69" s="5">
        <f t="shared" si="15"/>
        <v>3.1158805913895327</v>
      </c>
    </row>
    <row r="70" spans="2:10" x14ac:dyDescent="0.15">
      <c r="B70" s="2">
        <v>68</v>
      </c>
      <c r="C70" s="2">
        <f t="shared" si="8"/>
        <v>69</v>
      </c>
      <c r="D70" s="3">
        <f t="shared" si="9"/>
        <v>8.3066238629180749</v>
      </c>
      <c r="E70" s="3">
        <f t="shared" si="10"/>
        <v>9.59166304662544</v>
      </c>
      <c r="F70" s="5">
        <f t="shared" si="11"/>
        <v>0.61874385910414564</v>
      </c>
      <c r="G70" s="5">
        <f t="shared" si="12"/>
        <v>1.2374877182082913</v>
      </c>
      <c r="H70" s="5">
        <f t="shared" si="13"/>
        <v>1.8562315773124369</v>
      </c>
      <c r="I70" s="5">
        <f t="shared" si="14"/>
        <v>2.4749754364165826</v>
      </c>
      <c r="J70" s="5">
        <f t="shared" si="15"/>
        <v>3.093719295520728</v>
      </c>
    </row>
    <row r="71" spans="2:10" x14ac:dyDescent="0.15">
      <c r="B71" s="2">
        <v>69</v>
      </c>
      <c r="C71" s="2">
        <f t="shared" si="8"/>
        <v>70</v>
      </c>
      <c r="D71" s="3">
        <f t="shared" si="9"/>
        <v>8.3666002653407556</v>
      </c>
      <c r="E71" s="3">
        <f t="shared" si="10"/>
        <v>9.6609178307929593</v>
      </c>
      <c r="F71" s="5">
        <f t="shared" si="11"/>
        <v>0.61440479980017459</v>
      </c>
      <c r="G71" s="5">
        <f t="shared" si="12"/>
        <v>1.2288095996003492</v>
      </c>
      <c r="H71" s="5">
        <f t="shared" si="13"/>
        <v>1.8432143994005239</v>
      </c>
      <c r="I71" s="5">
        <f t="shared" si="14"/>
        <v>2.4576191992006984</v>
      </c>
      <c r="J71" s="5">
        <f t="shared" si="15"/>
        <v>3.0720239990008729</v>
      </c>
    </row>
    <row r="72" spans="2:10" x14ac:dyDescent="0.15">
      <c r="B72" s="2">
        <v>70</v>
      </c>
      <c r="C72" s="2">
        <f t="shared" si="8"/>
        <v>71</v>
      </c>
      <c r="D72" s="3">
        <f t="shared" si="9"/>
        <v>8.426149773176359</v>
      </c>
      <c r="E72" s="3">
        <f t="shared" si="10"/>
        <v>9.7296796795509497</v>
      </c>
      <c r="F72" s="5">
        <f t="shared" si="11"/>
        <v>0.61015572082881242</v>
      </c>
      <c r="G72" s="5">
        <f t="shared" si="12"/>
        <v>1.2203114416576248</v>
      </c>
      <c r="H72" s="5">
        <f t="shared" si="13"/>
        <v>1.8304671624864373</v>
      </c>
      <c r="I72" s="5">
        <f t="shared" si="14"/>
        <v>2.4406228833152497</v>
      </c>
      <c r="J72" s="5">
        <f t="shared" si="15"/>
        <v>3.0507786041440621</v>
      </c>
    </row>
    <row r="73" spans="2:10" x14ac:dyDescent="0.15">
      <c r="B73" s="2">
        <v>71</v>
      </c>
      <c r="C73" s="2">
        <f t="shared" si="8"/>
        <v>72</v>
      </c>
      <c r="D73" s="3">
        <f t="shared" si="9"/>
        <v>8.4852813742385695</v>
      </c>
      <c r="E73" s="3">
        <f t="shared" si="10"/>
        <v>9.7979589711327115</v>
      </c>
      <c r="F73" s="5">
        <f t="shared" si="11"/>
        <v>0.60599355615729678</v>
      </c>
      <c r="G73" s="5">
        <f t="shared" si="12"/>
        <v>1.2119871123145936</v>
      </c>
      <c r="H73" s="5">
        <f t="shared" si="13"/>
        <v>1.8179806684718902</v>
      </c>
      <c r="I73" s="5">
        <f t="shared" si="14"/>
        <v>2.4239742246291871</v>
      </c>
      <c r="J73" s="5">
        <f t="shared" si="15"/>
        <v>3.029967780786484</v>
      </c>
    </row>
    <row r="74" spans="2:10" x14ac:dyDescent="0.15">
      <c r="B74" s="2">
        <v>72</v>
      </c>
      <c r="C74" s="2">
        <f t="shared" si="8"/>
        <v>73</v>
      </c>
      <c r="D74" s="3">
        <f t="shared" si="9"/>
        <v>8.5440037453175304</v>
      </c>
      <c r="E74" s="3">
        <f t="shared" si="10"/>
        <v>9.8657657246324941</v>
      </c>
      <c r="F74" s="5">
        <f t="shared" si="11"/>
        <v>0.60191538397844624</v>
      </c>
      <c r="G74" s="5">
        <f t="shared" si="12"/>
        <v>1.2038307679568925</v>
      </c>
      <c r="H74" s="5">
        <f t="shared" si="13"/>
        <v>1.8057461519353386</v>
      </c>
      <c r="I74" s="5">
        <f t="shared" si="14"/>
        <v>2.407661535913785</v>
      </c>
      <c r="J74" s="5">
        <f t="shared" si="15"/>
        <v>3.0095769198922313</v>
      </c>
    </row>
    <row r="75" spans="2:10" x14ac:dyDescent="0.15">
      <c r="B75" s="2">
        <v>73</v>
      </c>
      <c r="C75" s="2">
        <f t="shared" si="8"/>
        <v>74</v>
      </c>
      <c r="D75" s="3">
        <f t="shared" si="9"/>
        <v>8.6023252670426267</v>
      </c>
      <c r="E75" s="3">
        <f t="shared" si="10"/>
        <v>9.9331096171675597</v>
      </c>
      <c r="F75" s="5">
        <f t="shared" si="11"/>
        <v>0.59791841810789936</v>
      </c>
      <c r="G75" s="5">
        <f t="shared" si="12"/>
        <v>1.1958368362157987</v>
      </c>
      <c r="H75" s="5">
        <f t="shared" si="13"/>
        <v>1.7937552543236981</v>
      </c>
      <c r="I75" s="5">
        <f t="shared" si="14"/>
        <v>2.3916736724315975</v>
      </c>
      <c r="J75" s="5">
        <f t="shared" si="15"/>
        <v>2.9895920905394968</v>
      </c>
    </row>
    <row r="76" spans="2:10" x14ac:dyDescent="0.15">
      <c r="B76" s="2">
        <v>74</v>
      </c>
      <c r="C76" s="2">
        <f t="shared" si="8"/>
        <v>75</v>
      </c>
      <c r="D76" s="3">
        <f t="shared" si="9"/>
        <v>8.6602540378443873</v>
      </c>
      <c r="E76" s="3">
        <f t="shared" si="10"/>
        <v>10.000000000000002</v>
      </c>
      <c r="F76" s="5">
        <f t="shared" si="11"/>
        <v>0.59399999999999975</v>
      </c>
      <c r="G76" s="5">
        <f t="shared" si="12"/>
        <v>1.1879999999999995</v>
      </c>
      <c r="H76" s="5">
        <f t="shared" si="13"/>
        <v>1.7819999999999991</v>
      </c>
      <c r="I76" s="5">
        <f t="shared" si="14"/>
        <v>2.375999999999999</v>
      </c>
      <c r="J76" s="5">
        <f t="shared" si="15"/>
        <v>2.9699999999999989</v>
      </c>
    </row>
    <row r="77" spans="2:10" x14ac:dyDescent="0.15">
      <c r="B77" s="2">
        <v>75</v>
      </c>
      <c r="C77" s="2">
        <f t="shared" si="8"/>
        <v>76</v>
      </c>
      <c r="D77" s="3">
        <f t="shared" si="9"/>
        <v>8.717797887081348</v>
      </c>
      <c r="E77" s="3">
        <f t="shared" si="10"/>
        <v>10.066445913694334</v>
      </c>
      <c r="F77" s="5">
        <f t="shared" si="11"/>
        <v>0.59015759133046086</v>
      </c>
      <c r="G77" s="5">
        <f t="shared" si="12"/>
        <v>1.1803151826609217</v>
      </c>
      <c r="H77" s="5">
        <f t="shared" si="13"/>
        <v>1.7704727739913826</v>
      </c>
      <c r="I77" s="5">
        <f t="shared" si="14"/>
        <v>2.3606303653218434</v>
      </c>
      <c r="J77" s="5">
        <f t="shared" si="15"/>
        <v>2.9507879566523041</v>
      </c>
    </row>
    <row r="78" spans="2:10" x14ac:dyDescent="0.15">
      <c r="B78" s="2">
        <v>76</v>
      </c>
      <c r="C78" s="2">
        <f t="shared" si="8"/>
        <v>77</v>
      </c>
      <c r="D78" s="3">
        <f t="shared" si="9"/>
        <v>8.7749643873921226</v>
      </c>
      <c r="E78" s="3">
        <f t="shared" si="10"/>
        <v>10.132456102380443</v>
      </c>
      <c r="F78" s="5">
        <f t="shared" si="11"/>
        <v>0.58638876709888488</v>
      </c>
      <c r="G78" s="5">
        <f t="shared" si="12"/>
        <v>1.1727775341977698</v>
      </c>
      <c r="H78" s="5">
        <f t="shared" si="13"/>
        <v>1.7591663012966547</v>
      </c>
      <c r="I78" s="5">
        <f t="shared" si="14"/>
        <v>2.3455550683955395</v>
      </c>
      <c r="J78" s="5">
        <f t="shared" si="15"/>
        <v>2.9319438354944243</v>
      </c>
    </row>
    <row r="79" spans="2:10" x14ac:dyDescent="0.15">
      <c r="B79" s="2">
        <v>77</v>
      </c>
      <c r="C79" s="2">
        <f t="shared" si="8"/>
        <v>78</v>
      </c>
      <c r="D79" s="3">
        <f t="shared" si="9"/>
        <v>8.8317608663278477</v>
      </c>
      <c r="E79" s="3">
        <f t="shared" si="10"/>
        <v>10.198039027185571</v>
      </c>
      <c r="F79" s="5">
        <f t="shared" si="11"/>
        <v>0.5826912092086427</v>
      </c>
      <c r="G79" s="5">
        <f t="shared" si="12"/>
        <v>1.1653824184172854</v>
      </c>
      <c r="H79" s="5">
        <f t="shared" si="13"/>
        <v>1.7480736276259281</v>
      </c>
      <c r="I79" s="5">
        <f t="shared" si="14"/>
        <v>2.3307648368345708</v>
      </c>
      <c r="J79" s="5">
        <f t="shared" si="15"/>
        <v>2.9134560460432137</v>
      </c>
    </row>
    <row r="80" spans="2:10" x14ac:dyDescent="0.15">
      <c r="B80" s="2">
        <v>78</v>
      </c>
      <c r="C80" s="2">
        <f t="shared" si="8"/>
        <v>79</v>
      </c>
      <c r="D80" s="3">
        <f t="shared" si="9"/>
        <v>8.8881944173155887</v>
      </c>
      <c r="E80" s="3">
        <f t="shared" si="10"/>
        <v>10.263202878893768</v>
      </c>
      <c r="F80" s="5">
        <f t="shared" si="11"/>
        <v>0.57906270048557418</v>
      </c>
      <c r="G80" s="5">
        <f t="shared" si="12"/>
        <v>1.1581254009711484</v>
      </c>
      <c r="H80" s="5">
        <f t="shared" si="13"/>
        <v>1.7371881014567225</v>
      </c>
      <c r="I80" s="5">
        <f t="shared" si="14"/>
        <v>2.3162508019422967</v>
      </c>
      <c r="J80" s="5">
        <f t="shared" si="15"/>
        <v>2.8953135024278707</v>
      </c>
    </row>
    <row r="81" spans="2:10" x14ac:dyDescent="0.15">
      <c r="B81" s="2">
        <v>79</v>
      </c>
      <c r="C81" s="2">
        <f t="shared" si="8"/>
        <v>80</v>
      </c>
      <c r="D81" s="3">
        <f t="shared" si="9"/>
        <v>8.9442719099991592</v>
      </c>
      <c r="E81" s="3">
        <f t="shared" si="10"/>
        <v>10.327955589886447</v>
      </c>
      <c r="F81" s="5">
        <f t="shared" si="11"/>
        <v>0.57550111910050816</v>
      </c>
      <c r="G81" s="5">
        <f t="shared" si="12"/>
        <v>1.1510022382010163</v>
      </c>
      <c r="H81" s="5">
        <f t="shared" si="13"/>
        <v>1.7265033573015245</v>
      </c>
      <c r="I81" s="5">
        <f t="shared" si="14"/>
        <v>2.3020044764020327</v>
      </c>
      <c r="J81" s="5">
        <f t="shared" si="15"/>
        <v>2.8775055955025408</v>
      </c>
    </row>
    <row r="82" spans="2:10" x14ac:dyDescent="0.15">
      <c r="B82" s="2">
        <v>80</v>
      </c>
      <c r="C82" s="2">
        <f t="shared" si="8"/>
        <v>81</v>
      </c>
      <c r="D82" s="3">
        <f t="shared" si="9"/>
        <v>9</v>
      </c>
      <c r="E82" s="3">
        <f t="shared" si="10"/>
        <v>10.392304845413264</v>
      </c>
      <c r="F82" s="5">
        <f t="shared" si="11"/>
        <v>0.57200443336379592</v>
      </c>
      <c r="G82" s="5">
        <f t="shared" si="12"/>
        <v>1.1440088667275918</v>
      </c>
      <c r="H82" s="5">
        <f t="shared" si="13"/>
        <v>1.7160133000913877</v>
      </c>
      <c r="I82" s="5">
        <f t="shared" si="14"/>
        <v>2.2880177334551837</v>
      </c>
      <c r="J82" s="5">
        <f t="shared" si="15"/>
        <v>2.8600221668189798</v>
      </c>
    </row>
    <row r="83" spans="2:10" x14ac:dyDescent="0.15">
      <c r="B83" s="2">
        <v>81</v>
      </c>
      <c r="C83" s="2">
        <f t="shared" si="8"/>
        <v>82</v>
      </c>
      <c r="D83" s="3">
        <f t="shared" si="9"/>
        <v>9.0553851381374173</v>
      </c>
      <c r="E83" s="3">
        <f t="shared" si="10"/>
        <v>10.45625809423875</v>
      </c>
      <c r="F83" s="5">
        <f t="shared" si="11"/>
        <v>0.56857069686288508</v>
      </c>
      <c r="G83" s="5">
        <f t="shared" si="12"/>
        <v>1.1371413937257702</v>
      </c>
      <c r="H83" s="5">
        <f t="shared" si="13"/>
        <v>1.7057120905886554</v>
      </c>
      <c r="I83" s="5">
        <f t="shared" si="14"/>
        <v>2.2742827874515403</v>
      </c>
      <c r="J83" s="5">
        <f t="shared" si="15"/>
        <v>2.8428534843144253</v>
      </c>
    </row>
    <row r="84" spans="2:10" x14ac:dyDescent="0.15">
      <c r="B84" s="2">
        <v>82</v>
      </c>
      <c r="C84" s="2">
        <f t="shared" si="8"/>
        <v>83</v>
      </c>
      <c r="D84" s="3">
        <f t="shared" si="9"/>
        <v>9.1104335791442992</v>
      </c>
      <c r="E84" s="3">
        <f t="shared" si="10"/>
        <v>10.519822558706334</v>
      </c>
      <c r="F84" s="5">
        <f t="shared" si="11"/>
        <v>0.56519804391655981</v>
      </c>
      <c r="G84" s="5">
        <f t="shared" si="12"/>
        <v>1.1303960878331196</v>
      </c>
      <c r="H84" s="5">
        <f t="shared" si="13"/>
        <v>1.6955941317496794</v>
      </c>
      <c r="I84" s="5">
        <f t="shared" si="14"/>
        <v>2.2607921756662392</v>
      </c>
      <c r="J84" s="5">
        <f t="shared" si="15"/>
        <v>2.8259902195827991</v>
      </c>
    </row>
    <row r="85" spans="2:10" x14ac:dyDescent="0.15">
      <c r="B85" s="2">
        <v>83</v>
      </c>
      <c r="C85" s="2">
        <f t="shared" si="8"/>
        <v>84</v>
      </c>
      <c r="D85" s="3">
        <f t="shared" si="9"/>
        <v>9.1651513899116797</v>
      </c>
      <c r="E85" s="3">
        <f t="shared" si="10"/>
        <v>10.583005244258363</v>
      </c>
      <c r="F85" s="5">
        <f t="shared" si="11"/>
        <v>0.56188468532175295</v>
      </c>
      <c r="G85" s="5">
        <f t="shared" si="12"/>
        <v>1.1237693706435059</v>
      </c>
      <c r="H85" s="5">
        <f t="shared" si="13"/>
        <v>1.6856540559652589</v>
      </c>
      <c r="I85" s="5">
        <f t="shared" si="14"/>
        <v>2.2475387412870118</v>
      </c>
      <c r="J85" s="5">
        <f t="shared" si="15"/>
        <v>2.809423426608765</v>
      </c>
    </row>
    <row r="86" spans="2:10" x14ac:dyDescent="0.15">
      <c r="B86" s="2">
        <v>84</v>
      </c>
      <c r="C86" s="2">
        <f t="shared" si="8"/>
        <v>85</v>
      </c>
      <c r="D86" s="3">
        <f t="shared" si="9"/>
        <v>9.2195444572928871</v>
      </c>
      <c r="E86" s="3">
        <f t="shared" si="10"/>
        <v>10.645812948447542</v>
      </c>
      <c r="F86" s="5">
        <f t="shared" si="11"/>
        <v>0.55862890437095825</v>
      </c>
      <c r="G86" s="5">
        <f t="shared" si="12"/>
        <v>1.1172578087419165</v>
      </c>
      <c r="H86" s="5">
        <f t="shared" si="13"/>
        <v>1.6758867131128747</v>
      </c>
      <c r="I86" s="5">
        <f t="shared" si="14"/>
        <v>2.234515617483833</v>
      </c>
      <c r="J86" s="5">
        <f t="shared" si="15"/>
        <v>2.7931445218547912</v>
      </c>
    </row>
    <row r="87" spans="2:10" x14ac:dyDescent="0.15">
      <c r="B87" s="2">
        <v>85</v>
      </c>
      <c r="C87" s="2">
        <f t="shared" si="8"/>
        <v>86</v>
      </c>
      <c r="D87" s="3">
        <f t="shared" si="9"/>
        <v>9.2736184954957039</v>
      </c>
      <c r="E87" s="3">
        <f t="shared" si="10"/>
        <v>10.708252269472675</v>
      </c>
      <c r="F87" s="5">
        <f t="shared" si="11"/>
        <v>0.55542905312012614</v>
      </c>
      <c r="G87" s="5">
        <f t="shared" si="12"/>
        <v>1.1108581062402523</v>
      </c>
      <c r="H87" s="5">
        <f t="shared" si="13"/>
        <v>1.6662871593603783</v>
      </c>
      <c r="I87" s="5">
        <f t="shared" si="14"/>
        <v>2.2217162124805045</v>
      </c>
      <c r="J87" s="5">
        <f t="shared" si="15"/>
        <v>2.7771452656006308</v>
      </c>
    </row>
    <row r="88" spans="2:10" x14ac:dyDescent="0.15">
      <c r="B88" s="2">
        <v>86</v>
      </c>
      <c r="C88" s="2">
        <f t="shared" si="8"/>
        <v>87</v>
      </c>
      <c r="D88" s="3">
        <f t="shared" si="9"/>
        <v>9.3273790530888157</v>
      </c>
      <c r="E88" s="3">
        <f t="shared" si="10"/>
        <v>10.770329614269009</v>
      </c>
      <c r="F88" s="5">
        <f t="shared" si="11"/>
        <v>0.5522835488886455</v>
      </c>
      <c r="G88" s="5">
        <f t="shared" si="12"/>
        <v>1.104567097777291</v>
      </c>
      <c r="H88" s="5">
        <f t="shared" si="13"/>
        <v>1.6568506466659365</v>
      </c>
      <c r="I88" s="5">
        <f t="shared" si="14"/>
        <v>2.209134195554582</v>
      </c>
      <c r="J88" s="5">
        <f t="shared" si="15"/>
        <v>2.7614177444432277</v>
      </c>
    </row>
    <row r="89" spans="2:10" x14ac:dyDescent="0.15">
      <c r="B89" s="2">
        <v>87</v>
      </c>
      <c r="C89" s="2">
        <f t="shared" si="8"/>
        <v>88</v>
      </c>
      <c r="D89" s="3">
        <f t="shared" si="9"/>
        <v>9.3808315196468595</v>
      </c>
      <c r="E89" s="3">
        <f t="shared" si="10"/>
        <v>10.832051206181282</v>
      </c>
      <c r="F89" s="5">
        <f t="shared" si="11"/>
        <v>0.5491908709745511</v>
      </c>
      <c r="G89" s="5">
        <f t="shared" si="12"/>
        <v>1.0983817419491022</v>
      </c>
      <c r="H89" s="5">
        <f t="shared" si="13"/>
        <v>1.6475726129236534</v>
      </c>
      <c r="I89" s="5">
        <f t="shared" si="14"/>
        <v>2.1967634838982044</v>
      </c>
      <c r="J89" s="5">
        <f t="shared" si="15"/>
        <v>2.7459543548727554</v>
      </c>
    </row>
    <row r="90" spans="2:10" x14ac:dyDescent="0.15">
      <c r="B90" s="2">
        <v>88</v>
      </c>
      <c r="C90" s="2">
        <f t="shared" si="8"/>
        <v>89</v>
      </c>
      <c r="D90" s="3">
        <f t="shared" si="9"/>
        <v>9.4339811320566032</v>
      </c>
      <c r="E90" s="3">
        <f t="shared" si="10"/>
        <v>10.893423092245461</v>
      </c>
      <c r="F90" s="5">
        <f t="shared" si="11"/>
        <v>0.54614955756949612</v>
      </c>
      <c r="G90" s="5">
        <f t="shared" si="12"/>
        <v>1.0922991151389922</v>
      </c>
      <c r="H90" s="5">
        <f t="shared" si="13"/>
        <v>1.6384486727084884</v>
      </c>
      <c r="I90" s="5">
        <f t="shared" si="14"/>
        <v>2.1845982302779845</v>
      </c>
      <c r="J90" s="5">
        <f t="shared" si="15"/>
        <v>2.7307477878474806</v>
      </c>
    </row>
    <row r="91" spans="2:10" x14ac:dyDescent="0.15">
      <c r="B91" s="2">
        <v>89</v>
      </c>
      <c r="C91" s="2">
        <f t="shared" si="8"/>
        <v>90</v>
      </c>
      <c r="D91" s="3">
        <f t="shared" si="9"/>
        <v>9.4868329805051381</v>
      </c>
      <c r="E91" s="3">
        <f t="shared" si="10"/>
        <v>10.954451150103322</v>
      </c>
      <c r="F91" s="5">
        <f t="shared" si="11"/>
        <v>0.54315820285928973</v>
      </c>
      <c r="G91" s="5">
        <f t="shared" si="12"/>
        <v>1.0863164057185795</v>
      </c>
      <c r="H91" s="5">
        <f t="shared" si="13"/>
        <v>1.6294746085778691</v>
      </c>
      <c r="I91" s="5">
        <f t="shared" si="14"/>
        <v>2.1726328114371589</v>
      </c>
      <c r="J91" s="5">
        <f t="shared" si="15"/>
        <v>2.7157910142964488</v>
      </c>
    </row>
    <row r="92" spans="2:10" x14ac:dyDescent="0.15">
      <c r="B92" s="2">
        <v>90</v>
      </c>
      <c r="C92" s="2">
        <f t="shared" si="8"/>
        <v>91</v>
      </c>
      <c r="D92" s="3">
        <f t="shared" si="9"/>
        <v>9.5393920141694561</v>
      </c>
      <c r="E92" s="3">
        <f t="shared" si="10"/>
        <v>11.015141094572204</v>
      </c>
      <c r="F92" s="5">
        <f t="shared" si="11"/>
        <v>0.54021545429696127</v>
      </c>
      <c r="G92" s="5">
        <f t="shared" si="12"/>
        <v>1.0804309085939225</v>
      </c>
      <c r="H92" s="5">
        <f t="shared" si="13"/>
        <v>1.6206463628908838</v>
      </c>
      <c r="I92" s="5">
        <f t="shared" si="14"/>
        <v>2.1608618171878451</v>
      </c>
      <c r="J92" s="5">
        <f t="shared" si="15"/>
        <v>2.7010772714848064</v>
      </c>
    </row>
    <row r="93" spans="2:10" x14ac:dyDescent="0.15">
      <c r="B93" s="2">
        <v>91</v>
      </c>
      <c r="C93" s="2">
        <f t="shared" si="8"/>
        <v>92</v>
      </c>
      <c r="D93" s="3">
        <f t="shared" si="9"/>
        <v>9.5916630466254382</v>
      </c>
      <c r="E93" s="3">
        <f t="shared" si="10"/>
        <v>11.075498483890765</v>
      </c>
      <c r="F93" s="5">
        <f t="shared" si="11"/>
        <v>0.53732001003634777</v>
      </c>
      <c r="G93" s="5">
        <f t="shared" si="12"/>
        <v>1.0746400200726955</v>
      </c>
      <c r="H93" s="5">
        <f t="shared" si="13"/>
        <v>1.6119600301090433</v>
      </c>
      <c r="I93" s="5">
        <f t="shared" si="14"/>
        <v>2.1492800401453911</v>
      </c>
      <c r="J93" s="5">
        <f t="shared" si="15"/>
        <v>2.6866000501817391</v>
      </c>
    </row>
    <row r="94" spans="2:10" x14ac:dyDescent="0.15">
      <c r="B94" s="2">
        <v>92</v>
      </c>
      <c r="C94" s="2">
        <f t="shared" si="8"/>
        <v>93</v>
      </c>
      <c r="D94" s="3">
        <f t="shared" si="9"/>
        <v>9.6436507609929549</v>
      </c>
      <c r="E94" s="3">
        <f t="shared" si="10"/>
        <v>11.135528725660045</v>
      </c>
      <c r="F94" s="5">
        <f t="shared" si="11"/>
        <v>0.5344706165151607</v>
      </c>
      <c r="G94" s="5">
        <f t="shared" si="12"/>
        <v>1.0689412330303214</v>
      </c>
      <c r="H94" s="5">
        <f t="shared" si="13"/>
        <v>1.6034118495454821</v>
      </c>
      <c r="I94" s="5">
        <f t="shared" si="14"/>
        <v>2.1378824660606428</v>
      </c>
      <c r="J94" s="5">
        <f t="shared" si="15"/>
        <v>2.6723530825758033</v>
      </c>
    </row>
    <row r="95" spans="2:10" x14ac:dyDescent="0.15">
      <c r="B95" s="2">
        <v>93</v>
      </c>
      <c r="C95" s="2">
        <f t="shared" si="8"/>
        <v>94</v>
      </c>
      <c r="D95" s="3">
        <f t="shared" si="9"/>
        <v>9.6953597148326587</v>
      </c>
      <c r="E95" s="3">
        <f t="shared" si="10"/>
        <v>11.195237082497778</v>
      </c>
      <c r="F95" s="5">
        <f t="shared" si="11"/>
        <v>0.53166606617735712</v>
      </c>
      <c r="G95" s="5">
        <f t="shared" si="12"/>
        <v>1.0633321323547142</v>
      </c>
      <c r="H95" s="5">
        <f t="shared" si="13"/>
        <v>1.5949981985320714</v>
      </c>
      <c r="I95" s="5">
        <f t="shared" si="14"/>
        <v>2.1266642647094285</v>
      </c>
      <c r="J95" s="5">
        <f t="shared" si="15"/>
        <v>2.6583303308867858</v>
      </c>
    </row>
    <row r="96" spans="2:10" x14ac:dyDescent="0.15">
      <c r="B96" s="2">
        <v>94</v>
      </c>
      <c r="C96" s="2">
        <f t="shared" si="8"/>
        <v>95</v>
      </c>
      <c r="D96" s="3">
        <f t="shared" si="9"/>
        <v>9.7467943448089631</v>
      </c>
      <c r="E96" s="3">
        <f t="shared" si="10"/>
        <v>11.254628677422755</v>
      </c>
      <c r="F96" s="5">
        <f t="shared" si="11"/>
        <v>0.52890519532542124</v>
      </c>
      <c r="G96" s="5">
        <f t="shared" si="12"/>
        <v>1.0578103906508425</v>
      </c>
      <c r="H96" s="5">
        <f t="shared" si="13"/>
        <v>1.5867155859762638</v>
      </c>
      <c r="I96" s="5">
        <f t="shared" si="14"/>
        <v>2.115620781301685</v>
      </c>
      <c r="J96" s="5">
        <f t="shared" si="15"/>
        <v>2.6445259766271061</v>
      </c>
    </row>
    <row r="97" spans="2:10" x14ac:dyDescent="0.15">
      <c r="B97" s="2">
        <v>95</v>
      </c>
      <c r="C97" s="2">
        <f t="shared" si="8"/>
        <v>96</v>
      </c>
      <c r="D97" s="3">
        <f t="shared" si="9"/>
        <v>9.7979589711327115</v>
      </c>
      <c r="E97" s="3">
        <f t="shared" si="10"/>
        <v>11.313708498984759</v>
      </c>
      <c r="F97" s="5">
        <f t="shared" si="11"/>
        <v>0.52618688209389586</v>
      </c>
      <c r="G97" s="5">
        <f t="shared" si="12"/>
        <v>1.0523737641877917</v>
      </c>
      <c r="H97" s="5">
        <f t="shared" si="13"/>
        <v>1.5785606462816877</v>
      </c>
      <c r="I97" s="5">
        <f t="shared" si="14"/>
        <v>2.1047475283755834</v>
      </c>
      <c r="J97" s="5">
        <f t="shared" si="15"/>
        <v>2.6309344104694792</v>
      </c>
    </row>
    <row r="98" spans="2:10" x14ac:dyDescent="0.15">
      <c r="B98" s="2">
        <v>96</v>
      </c>
      <c r="C98" s="2">
        <f t="shared" si="8"/>
        <v>97</v>
      </c>
      <c r="D98" s="3">
        <f t="shared" si="9"/>
        <v>9.8488578017961039</v>
      </c>
      <c r="E98" s="3">
        <f t="shared" si="10"/>
        <v>11.372481406154654</v>
      </c>
      <c r="F98" s="5">
        <f t="shared" si="11"/>
        <v>0.52351004453616057</v>
      </c>
      <c r="G98" s="5">
        <f t="shared" si="12"/>
        <v>1.0470200890723211</v>
      </c>
      <c r="H98" s="5">
        <f t="shared" si="13"/>
        <v>1.5705301336084818</v>
      </c>
      <c r="I98" s="5">
        <f t="shared" si="14"/>
        <v>2.0940401781446423</v>
      </c>
      <c r="J98" s="5">
        <f t="shared" si="15"/>
        <v>2.6175502226808027</v>
      </c>
    </row>
    <row r="99" spans="2:10" x14ac:dyDescent="0.15">
      <c r="B99" s="2">
        <v>97</v>
      </c>
      <c r="C99" s="2">
        <f t="shared" si="8"/>
        <v>98</v>
      </c>
      <c r="D99" s="3">
        <f t="shared" si="9"/>
        <v>9.8994949366116654</v>
      </c>
      <c r="E99" s="3">
        <f t="shared" si="10"/>
        <v>11.430952132988166</v>
      </c>
      <c r="F99" s="5">
        <f t="shared" si="11"/>
        <v>0.52087363881704951</v>
      </c>
      <c r="G99" s="5">
        <f t="shared" si="12"/>
        <v>1.041747277634099</v>
      </c>
      <c r="H99" s="5">
        <f t="shared" si="13"/>
        <v>1.5626209164511486</v>
      </c>
      <c r="I99" s="5">
        <f t="shared" si="14"/>
        <v>2.083494555268198</v>
      </c>
      <c r="J99" s="5">
        <f t="shared" si="15"/>
        <v>2.6043681940852474</v>
      </c>
    </row>
    <row r="100" spans="2:10" x14ac:dyDescent="0.15">
      <c r="B100" s="2">
        <v>98</v>
      </c>
      <c r="C100" s="2">
        <f t="shared" si="8"/>
        <v>99</v>
      </c>
      <c r="D100" s="3">
        <f t="shared" si="9"/>
        <v>9.9498743710661994</v>
      </c>
      <c r="E100" s="3">
        <f t="shared" si="10"/>
        <v>11.489125293076057</v>
      </c>
      <c r="F100" s="5">
        <f t="shared" si="11"/>
        <v>0.51827665750446394</v>
      </c>
      <c r="G100" s="5">
        <f t="shared" si="12"/>
        <v>1.0365533150089279</v>
      </c>
      <c r="H100" s="5">
        <f t="shared" si="13"/>
        <v>1.5548299725133918</v>
      </c>
      <c r="I100" s="5">
        <f t="shared" si="14"/>
        <v>2.0731066300178558</v>
      </c>
      <c r="J100" s="5">
        <f t="shared" si="15"/>
        <v>2.5913832875223197</v>
      </c>
    </row>
    <row r="101" spans="2:10" x14ac:dyDescent="0.15">
      <c r="B101" s="2">
        <v>99</v>
      </c>
      <c r="C101" s="2">
        <f t="shared" si="8"/>
        <v>100</v>
      </c>
      <c r="D101" s="3">
        <f t="shared" si="9"/>
        <v>10</v>
      </c>
      <c r="E101" s="3">
        <f t="shared" si="10"/>
        <v>11.547005383792516</v>
      </c>
      <c r="F101" s="5">
        <f t="shared" si="11"/>
        <v>0.51571812795363303</v>
      </c>
      <c r="G101" s="5">
        <f t="shared" si="12"/>
        <v>1.0314362559072661</v>
      </c>
      <c r="H101" s="5">
        <f t="shared" si="13"/>
        <v>1.547154383860899</v>
      </c>
      <c r="I101" s="5">
        <f t="shared" si="14"/>
        <v>2.0628725118145321</v>
      </c>
      <c r="J101" s="5">
        <f t="shared" si="15"/>
        <v>2.5785906397681653</v>
      </c>
    </row>
    <row r="102" spans="2:10" x14ac:dyDescent="0.15">
      <c r="B102" s="2">
        <v>100</v>
      </c>
      <c r="C102" s="2">
        <f t="shared" si="8"/>
        <v>101</v>
      </c>
      <c r="D102" s="3">
        <f t="shared" si="9"/>
        <v>10.04987562112089</v>
      </c>
      <c r="E102" s="3">
        <f t="shared" si="10"/>
        <v>11.604596790352808</v>
      </c>
      <c r="F102" s="5">
        <f t="shared" si="11"/>
        <v>0.51319711077815</v>
      </c>
      <c r="G102" s="5">
        <f t="shared" si="12"/>
        <v>1.0263942215563</v>
      </c>
      <c r="H102" s="5">
        <f t="shared" si="13"/>
        <v>1.5395913323344499</v>
      </c>
      <c r="I102" s="5">
        <f t="shared" si="14"/>
        <v>2.0527884431126</v>
      </c>
      <c r="J102" s="5">
        <f t="shared" si="15"/>
        <v>2.5659855538907501</v>
      </c>
    </row>
    <row r="103" spans="2:10" x14ac:dyDescent="0.15">
      <c r="B103"/>
      <c r="C103"/>
      <c r="D103"/>
      <c r="E103"/>
      <c r="F103" s="7"/>
      <c r="G103" s="7"/>
      <c r="H103" s="7"/>
      <c r="I103" s="7"/>
      <c r="J103" s="7"/>
    </row>
    <row r="104" spans="2:10" x14ac:dyDescent="0.15">
      <c r="B104"/>
      <c r="C104"/>
      <c r="D104"/>
      <c r="E104"/>
      <c r="F104" s="7"/>
      <c r="G104" s="7"/>
      <c r="H104" s="7"/>
      <c r="I104" s="7"/>
      <c r="J104" s="7"/>
    </row>
    <row r="105" spans="2:10" x14ac:dyDescent="0.15">
      <c r="B105"/>
      <c r="C105"/>
      <c r="D105"/>
      <c r="E105"/>
      <c r="F105" s="7"/>
      <c r="G105" s="7"/>
      <c r="H105" s="7"/>
      <c r="I105" s="7"/>
      <c r="J105" s="7"/>
    </row>
    <row r="106" spans="2:10" x14ac:dyDescent="0.15">
      <c r="B106"/>
      <c r="C106"/>
      <c r="D106"/>
      <c r="E106"/>
      <c r="F106" s="7"/>
      <c r="G106" s="7"/>
      <c r="H106" s="7"/>
      <c r="I106" s="7"/>
      <c r="J106" s="7"/>
    </row>
    <row r="107" spans="2:10" x14ac:dyDescent="0.15">
      <c r="B107"/>
      <c r="C107"/>
      <c r="D107"/>
      <c r="E107"/>
      <c r="F107" s="7"/>
      <c r="G107" s="7"/>
      <c r="H107" s="7"/>
      <c r="I107" s="7"/>
      <c r="J107" s="7"/>
    </row>
    <row r="108" spans="2:10" x14ac:dyDescent="0.15">
      <c r="B108"/>
      <c r="C108"/>
      <c r="D108"/>
      <c r="E108"/>
      <c r="F108" s="7"/>
      <c r="G108" s="7"/>
      <c r="H108" s="7"/>
      <c r="I108" s="7"/>
      <c r="J108" s="7"/>
    </row>
    <row r="109" spans="2:10" x14ac:dyDescent="0.15">
      <c r="B109"/>
      <c r="C109"/>
      <c r="D109"/>
      <c r="E109"/>
      <c r="F109" s="7"/>
      <c r="G109" s="7"/>
      <c r="H109" s="7"/>
      <c r="I109" s="7"/>
      <c r="J109" s="7"/>
    </row>
    <row r="110" spans="2:10" x14ac:dyDescent="0.15">
      <c r="B110"/>
      <c r="C110"/>
      <c r="D110"/>
      <c r="E110"/>
      <c r="F110" s="7"/>
      <c r="G110" s="7"/>
      <c r="H110" s="7"/>
      <c r="I110" s="7"/>
      <c r="J110" s="7"/>
    </row>
    <row r="111" spans="2:10" x14ac:dyDescent="0.15">
      <c r="B111"/>
      <c r="C111"/>
      <c r="D111"/>
      <c r="E111"/>
      <c r="F111" s="7"/>
      <c r="G111" s="7"/>
      <c r="H111" s="7"/>
      <c r="I111" s="7"/>
      <c r="J111" s="7"/>
    </row>
    <row r="112" spans="2:10" x14ac:dyDescent="0.15">
      <c r="B112"/>
      <c r="C112"/>
      <c r="D112"/>
      <c r="E112"/>
      <c r="F112" s="7"/>
      <c r="G112" s="7"/>
      <c r="H112" s="7"/>
      <c r="I112" s="7"/>
      <c r="J112" s="7"/>
    </row>
    <row r="113" spans="2:10" x14ac:dyDescent="0.15">
      <c r="B113"/>
      <c r="C113"/>
      <c r="D113"/>
      <c r="E113"/>
      <c r="F113" s="7"/>
      <c r="G113" s="7"/>
      <c r="H113" s="7"/>
      <c r="I113" s="7"/>
      <c r="J113" s="7"/>
    </row>
    <row r="114" spans="2:10" x14ac:dyDescent="0.15">
      <c r="B114"/>
      <c r="C114"/>
      <c r="D114"/>
      <c r="E114"/>
      <c r="F114" s="7"/>
      <c r="G114" s="7"/>
      <c r="H114" s="7"/>
      <c r="I114" s="7"/>
      <c r="J114" s="7"/>
    </row>
    <row r="115" spans="2:10" x14ac:dyDescent="0.15">
      <c r="B115"/>
      <c r="C115"/>
      <c r="D115"/>
      <c r="E115"/>
      <c r="F115" s="7"/>
      <c r="G115" s="7"/>
      <c r="H115" s="7"/>
      <c r="I115" s="7"/>
      <c r="J115" s="7"/>
    </row>
    <row r="116" spans="2:10" x14ac:dyDescent="0.15">
      <c r="B116"/>
      <c r="C116"/>
      <c r="D116"/>
      <c r="E116"/>
      <c r="F116" s="7"/>
      <c r="G116" s="7"/>
      <c r="H116" s="7"/>
      <c r="I116" s="7"/>
      <c r="J116" s="7"/>
    </row>
    <row r="117" spans="2:10" x14ac:dyDescent="0.15">
      <c r="B117"/>
      <c r="C117"/>
      <c r="D117"/>
      <c r="E117"/>
      <c r="F117" s="7"/>
      <c r="G117" s="7"/>
      <c r="H117" s="7"/>
      <c r="I117" s="7"/>
      <c r="J117" s="7"/>
    </row>
    <row r="118" spans="2:10" x14ac:dyDescent="0.15">
      <c r="B118"/>
      <c r="C118"/>
      <c r="D118"/>
      <c r="E118"/>
      <c r="F118" s="7"/>
      <c r="G118" s="7"/>
      <c r="H118" s="7"/>
      <c r="I118" s="7"/>
      <c r="J118" s="7"/>
    </row>
    <row r="119" spans="2:10" x14ac:dyDescent="0.15">
      <c r="B119"/>
      <c r="C119"/>
      <c r="D119"/>
      <c r="E119"/>
      <c r="F119" s="7"/>
      <c r="G119" s="7"/>
      <c r="H119" s="7"/>
      <c r="I119" s="7"/>
      <c r="J119" s="7"/>
    </row>
    <row r="120" spans="2:10" x14ac:dyDescent="0.15">
      <c r="B120"/>
      <c r="C120"/>
      <c r="D120"/>
      <c r="E120"/>
      <c r="F120" s="7"/>
      <c r="G120" s="7"/>
      <c r="H120" s="7"/>
      <c r="I120" s="7"/>
      <c r="J120" s="7"/>
    </row>
    <row r="121" spans="2:10" x14ac:dyDescent="0.15">
      <c r="B121"/>
      <c r="C121"/>
      <c r="D121"/>
      <c r="E121"/>
      <c r="F121" s="7"/>
      <c r="G121" s="7"/>
      <c r="H121" s="7"/>
      <c r="I121" s="7"/>
      <c r="J121" s="7"/>
    </row>
    <row r="122" spans="2:10" x14ac:dyDescent="0.15">
      <c r="B122"/>
      <c r="C122"/>
      <c r="D122"/>
      <c r="E122"/>
      <c r="F122" s="7"/>
      <c r="G122" s="7"/>
      <c r="H122" s="7"/>
      <c r="I122" s="7"/>
      <c r="J122" s="7"/>
    </row>
    <row r="123" spans="2:10" x14ac:dyDescent="0.15">
      <c r="B123"/>
      <c r="C123"/>
      <c r="D123"/>
      <c r="E123"/>
      <c r="F123" s="7"/>
      <c r="G123" s="7"/>
      <c r="H123" s="7"/>
      <c r="I123" s="7"/>
      <c r="J123" s="7"/>
    </row>
    <row r="124" spans="2:10" x14ac:dyDescent="0.15">
      <c r="B124"/>
      <c r="C124"/>
      <c r="D124"/>
      <c r="E124"/>
      <c r="F124" s="7"/>
      <c r="G124" s="7"/>
      <c r="H124" s="7"/>
      <c r="I124" s="7"/>
      <c r="J124" s="7"/>
    </row>
    <row r="125" spans="2:10" x14ac:dyDescent="0.15">
      <c r="B125"/>
      <c r="C125"/>
      <c r="D125"/>
      <c r="E125"/>
      <c r="F125" s="7"/>
      <c r="G125" s="7"/>
      <c r="H125" s="7"/>
      <c r="I125" s="7"/>
      <c r="J125" s="7"/>
    </row>
    <row r="126" spans="2:10" x14ac:dyDescent="0.15">
      <c r="B126"/>
      <c r="C126"/>
      <c r="D126"/>
      <c r="E126"/>
      <c r="F126" s="7"/>
      <c r="G126" s="7"/>
      <c r="H126" s="7"/>
      <c r="I126" s="7"/>
      <c r="J126" s="7"/>
    </row>
    <row r="127" spans="2:10" x14ac:dyDescent="0.15">
      <c r="B127"/>
      <c r="C127"/>
      <c r="D127"/>
      <c r="E127"/>
      <c r="F127" s="7"/>
      <c r="G127" s="7"/>
      <c r="H127" s="7"/>
      <c r="I127" s="7"/>
      <c r="J127" s="7"/>
    </row>
    <row r="128" spans="2:10" x14ac:dyDescent="0.15">
      <c r="B128"/>
      <c r="C128"/>
      <c r="D128"/>
      <c r="E128"/>
      <c r="F128" s="7"/>
      <c r="G128" s="7"/>
      <c r="H128" s="7"/>
      <c r="I128" s="7"/>
      <c r="J128" s="7"/>
    </row>
    <row r="129" spans="2:10" x14ac:dyDescent="0.15">
      <c r="B129"/>
      <c r="C129"/>
      <c r="D129"/>
      <c r="E129"/>
      <c r="F129" s="7"/>
      <c r="G129" s="7"/>
      <c r="H129" s="7"/>
      <c r="I129" s="7"/>
      <c r="J129" s="7"/>
    </row>
    <row r="130" spans="2:10" x14ac:dyDescent="0.15">
      <c r="B130"/>
      <c r="C130"/>
      <c r="D130"/>
      <c r="E130"/>
      <c r="F130" s="7"/>
      <c r="G130" s="7"/>
      <c r="H130" s="7"/>
      <c r="I130" s="7"/>
      <c r="J130" s="7"/>
    </row>
    <row r="131" spans="2:10" x14ac:dyDescent="0.15">
      <c r="B131"/>
      <c r="C131"/>
      <c r="D131"/>
      <c r="E131"/>
      <c r="F131" s="7"/>
      <c r="G131" s="7"/>
      <c r="H131" s="7"/>
      <c r="I131" s="7"/>
      <c r="J131" s="7"/>
    </row>
    <row r="132" spans="2:10" x14ac:dyDescent="0.15">
      <c r="B132"/>
      <c r="C132"/>
      <c r="D132"/>
      <c r="E132"/>
      <c r="F132" s="7"/>
      <c r="G132" s="7"/>
      <c r="H132" s="7"/>
      <c r="I132" s="7"/>
      <c r="J132" s="7"/>
    </row>
    <row r="133" spans="2:10" x14ac:dyDescent="0.15">
      <c r="B133"/>
      <c r="C133"/>
      <c r="D133"/>
      <c r="E133"/>
      <c r="F133" s="7"/>
      <c r="G133" s="7"/>
      <c r="H133" s="7"/>
      <c r="I133" s="7"/>
      <c r="J133" s="7"/>
    </row>
    <row r="134" spans="2:10" x14ac:dyDescent="0.15">
      <c r="B134"/>
      <c r="C134"/>
      <c r="D134"/>
      <c r="E134"/>
      <c r="F134" s="7"/>
      <c r="G134" s="7"/>
      <c r="H134" s="7"/>
      <c r="I134" s="7"/>
      <c r="J134" s="7"/>
    </row>
    <row r="135" spans="2:10" x14ac:dyDescent="0.15">
      <c r="B135"/>
      <c r="C135"/>
      <c r="D135"/>
      <c r="E135"/>
      <c r="F135" s="7"/>
      <c r="G135" s="7"/>
      <c r="H135" s="7"/>
      <c r="I135" s="7"/>
      <c r="J135" s="7"/>
    </row>
    <row r="136" spans="2:10" x14ac:dyDescent="0.15">
      <c r="B136"/>
      <c r="C136"/>
      <c r="D136"/>
      <c r="E136"/>
      <c r="F136" s="7"/>
      <c r="G136" s="7"/>
      <c r="H136" s="7"/>
      <c r="I136" s="7"/>
      <c r="J136" s="7"/>
    </row>
    <row r="137" spans="2:10" x14ac:dyDescent="0.15">
      <c r="B137"/>
      <c r="C137"/>
      <c r="D137"/>
      <c r="E137"/>
      <c r="F137" s="7"/>
      <c r="G137" s="7"/>
      <c r="H137" s="7"/>
      <c r="I137" s="7"/>
      <c r="J137" s="7"/>
    </row>
    <row r="138" spans="2:10" x14ac:dyDescent="0.15">
      <c r="B138"/>
      <c r="C138"/>
      <c r="D138"/>
      <c r="E138"/>
      <c r="F138" s="7"/>
      <c r="G138" s="7"/>
      <c r="H138" s="7"/>
      <c r="I138" s="7"/>
      <c r="J138" s="7"/>
    </row>
    <row r="139" spans="2:10" x14ac:dyDescent="0.15">
      <c r="B139"/>
      <c r="C139"/>
      <c r="D139"/>
      <c r="E139"/>
      <c r="F139" s="7"/>
      <c r="G139" s="7"/>
      <c r="H139" s="7"/>
      <c r="I139" s="7"/>
      <c r="J139" s="7"/>
    </row>
    <row r="140" spans="2:10" x14ac:dyDescent="0.15">
      <c r="B140"/>
      <c r="C140"/>
      <c r="D140"/>
      <c r="E140"/>
      <c r="F140" s="7"/>
      <c r="G140" s="7"/>
      <c r="H140" s="7"/>
      <c r="I140" s="7"/>
      <c r="J140" s="7"/>
    </row>
    <row r="141" spans="2:10" x14ac:dyDescent="0.15">
      <c r="B141"/>
      <c r="C141"/>
      <c r="D141"/>
      <c r="E141"/>
      <c r="F141" s="7"/>
      <c r="G141" s="7"/>
      <c r="H141" s="7"/>
      <c r="I141" s="7"/>
      <c r="J141" s="7"/>
    </row>
    <row r="142" spans="2:10" x14ac:dyDescent="0.15">
      <c r="B142"/>
      <c r="C142"/>
      <c r="D142"/>
      <c r="E142"/>
      <c r="F142" s="7"/>
      <c r="G142" s="7"/>
      <c r="H142" s="7"/>
      <c r="I142" s="7"/>
      <c r="J142" s="7"/>
    </row>
    <row r="143" spans="2:10" x14ac:dyDescent="0.15">
      <c r="B143"/>
      <c r="C143"/>
      <c r="D143"/>
      <c r="E143"/>
      <c r="F143" s="7"/>
      <c r="G143" s="7"/>
      <c r="H143" s="7"/>
      <c r="I143" s="7"/>
      <c r="J143" s="7"/>
    </row>
    <row r="144" spans="2:10" x14ac:dyDescent="0.15">
      <c r="B144"/>
      <c r="C144"/>
      <c r="D144"/>
      <c r="E144"/>
      <c r="F144" s="7"/>
      <c r="G144" s="7"/>
      <c r="H144" s="7"/>
      <c r="I144" s="7"/>
      <c r="J144" s="7"/>
    </row>
    <row r="145" spans="2:10" x14ac:dyDescent="0.15">
      <c r="B145"/>
      <c r="C145"/>
      <c r="D145"/>
      <c r="E145"/>
      <c r="F145" s="7"/>
      <c r="G145" s="7"/>
      <c r="H145" s="7"/>
      <c r="I145" s="7"/>
      <c r="J145" s="7"/>
    </row>
    <row r="146" spans="2:10" x14ac:dyDescent="0.15">
      <c r="B146"/>
      <c r="C146"/>
      <c r="D146"/>
      <c r="E146"/>
      <c r="F146" s="7"/>
      <c r="G146" s="7"/>
      <c r="H146" s="7"/>
      <c r="I146" s="7"/>
      <c r="J146" s="7"/>
    </row>
    <row r="147" spans="2:10" x14ac:dyDescent="0.15">
      <c r="B147"/>
      <c r="C147"/>
      <c r="D147"/>
      <c r="E147"/>
      <c r="F147" s="7"/>
      <c r="G147" s="7"/>
      <c r="H147" s="7"/>
      <c r="I147" s="7"/>
      <c r="J147" s="7"/>
    </row>
    <row r="148" spans="2:10" x14ac:dyDescent="0.15">
      <c r="B148"/>
      <c r="C148"/>
      <c r="D148"/>
      <c r="E148"/>
      <c r="F148" s="7"/>
      <c r="G148" s="7"/>
      <c r="H148" s="7"/>
      <c r="I148" s="7"/>
      <c r="J148" s="7"/>
    </row>
    <row r="149" spans="2:10" x14ac:dyDescent="0.15">
      <c r="B149"/>
      <c r="C149"/>
      <c r="D149"/>
      <c r="E149"/>
      <c r="F149" s="7"/>
      <c r="G149" s="7"/>
      <c r="H149" s="7"/>
      <c r="I149" s="7"/>
      <c r="J149" s="7"/>
    </row>
    <row r="150" spans="2:10" x14ac:dyDescent="0.15">
      <c r="B150"/>
      <c r="C150"/>
      <c r="D150"/>
      <c r="E150"/>
      <c r="F150" s="7"/>
      <c r="G150" s="7"/>
      <c r="H150" s="7"/>
      <c r="I150" s="7"/>
      <c r="J150" s="7"/>
    </row>
    <row r="151" spans="2:10" x14ac:dyDescent="0.15">
      <c r="B151"/>
      <c r="C151"/>
      <c r="D151"/>
      <c r="E151"/>
      <c r="F151" s="7"/>
      <c r="G151" s="7"/>
      <c r="H151" s="7"/>
      <c r="I151" s="7"/>
      <c r="J151" s="7"/>
    </row>
    <row r="152" spans="2:10" x14ac:dyDescent="0.15">
      <c r="B152"/>
      <c r="C152"/>
      <c r="D152"/>
      <c r="E152"/>
      <c r="F152" s="7"/>
      <c r="G152" s="7"/>
      <c r="H152" s="7"/>
      <c r="I152" s="7"/>
      <c r="J152" s="7"/>
    </row>
    <row r="153" spans="2:10" x14ac:dyDescent="0.15">
      <c r="B153"/>
      <c r="C153"/>
      <c r="D153"/>
      <c r="E153"/>
      <c r="F153" s="7"/>
      <c r="G153" s="7"/>
      <c r="H153" s="7"/>
      <c r="I153" s="7"/>
      <c r="J153" s="7"/>
    </row>
    <row r="154" spans="2:10" x14ac:dyDescent="0.15">
      <c r="B154"/>
      <c r="C154"/>
      <c r="D154"/>
      <c r="E154"/>
      <c r="F154" s="7"/>
      <c r="G154" s="7"/>
      <c r="H154" s="7"/>
      <c r="I154" s="7"/>
      <c r="J154" s="7"/>
    </row>
    <row r="155" spans="2:10" x14ac:dyDescent="0.15">
      <c r="B155"/>
      <c r="C155"/>
      <c r="D155"/>
      <c r="E155"/>
      <c r="F155" s="7"/>
      <c r="G155" s="7"/>
      <c r="H155" s="7"/>
      <c r="I155" s="7"/>
      <c r="J155" s="7"/>
    </row>
    <row r="156" spans="2:10" x14ac:dyDescent="0.15">
      <c r="B156"/>
      <c r="C156"/>
      <c r="D156"/>
      <c r="E156"/>
      <c r="F156" s="7"/>
      <c r="G156" s="7"/>
      <c r="H156" s="7"/>
      <c r="I156" s="7"/>
      <c r="J156" s="7"/>
    </row>
    <row r="157" spans="2:10" x14ac:dyDescent="0.15">
      <c r="B157"/>
      <c r="C157"/>
      <c r="D157"/>
      <c r="E157"/>
      <c r="F157" s="7"/>
      <c r="G157" s="7"/>
      <c r="H157" s="7"/>
      <c r="I157" s="7"/>
      <c r="J157" s="7"/>
    </row>
    <row r="158" spans="2:10" x14ac:dyDescent="0.15">
      <c r="B158"/>
      <c r="C158"/>
      <c r="D158"/>
      <c r="E158"/>
      <c r="F158" s="7"/>
      <c r="G158" s="7"/>
      <c r="H158" s="7"/>
      <c r="I158" s="7"/>
      <c r="J158" s="7"/>
    </row>
    <row r="159" spans="2:10" x14ac:dyDescent="0.15">
      <c r="B159"/>
      <c r="C159"/>
      <c r="D159"/>
      <c r="E159"/>
      <c r="F159" s="7"/>
      <c r="G159" s="7"/>
      <c r="H159" s="7"/>
      <c r="I159" s="7"/>
      <c r="J159" s="7"/>
    </row>
    <row r="160" spans="2:10" x14ac:dyDescent="0.15">
      <c r="B160"/>
      <c r="C160"/>
      <c r="D160"/>
      <c r="E160"/>
      <c r="F160" s="7"/>
      <c r="G160" s="7"/>
      <c r="H160" s="7"/>
      <c r="I160" s="7"/>
      <c r="J160" s="7"/>
    </row>
    <row r="161" spans="2:10" x14ac:dyDescent="0.15">
      <c r="B161"/>
      <c r="C161"/>
      <c r="D161"/>
      <c r="E161"/>
      <c r="F161" s="7"/>
      <c r="G161" s="7"/>
      <c r="H161" s="7"/>
      <c r="I161" s="7"/>
      <c r="J161" s="7"/>
    </row>
    <row r="162" spans="2:10" x14ac:dyDescent="0.15">
      <c r="B162"/>
      <c r="C162"/>
      <c r="D162"/>
      <c r="E162"/>
      <c r="F162" s="7"/>
      <c r="G162" s="7"/>
      <c r="H162" s="7"/>
      <c r="I162" s="7"/>
      <c r="J162" s="7"/>
    </row>
    <row r="163" spans="2:10" x14ac:dyDescent="0.15">
      <c r="B163"/>
      <c r="C163"/>
      <c r="D163"/>
      <c r="E163"/>
      <c r="F163" s="7"/>
      <c r="G163" s="7"/>
      <c r="H163" s="7"/>
      <c r="I163" s="7"/>
      <c r="J163" s="7"/>
    </row>
    <row r="164" spans="2:10" x14ac:dyDescent="0.15">
      <c r="B164"/>
      <c r="C164"/>
      <c r="D164"/>
      <c r="E164"/>
      <c r="F164" s="7"/>
      <c r="G164" s="7"/>
      <c r="H164" s="7"/>
      <c r="I164" s="7"/>
      <c r="J164" s="7"/>
    </row>
    <row r="165" spans="2:10" x14ac:dyDescent="0.15">
      <c r="B165"/>
      <c r="C165"/>
      <c r="D165"/>
      <c r="E165"/>
      <c r="F165" s="7"/>
      <c r="G165" s="7"/>
      <c r="H165" s="7"/>
      <c r="I165" s="7"/>
      <c r="J165" s="7"/>
    </row>
    <row r="166" spans="2:10" x14ac:dyDescent="0.15">
      <c r="B166"/>
      <c r="C166"/>
      <c r="D166"/>
      <c r="E166"/>
      <c r="F166" s="7"/>
      <c r="G166" s="7"/>
      <c r="H166" s="7"/>
      <c r="I166" s="7"/>
      <c r="J166" s="7"/>
    </row>
    <row r="167" spans="2:10" x14ac:dyDescent="0.15">
      <c r="B167"/>
      <c r="C167"/>
      <c r="D167"/>
      <c r="E167"/>
      <c r="F167" s="7"/>
      <c r="G167" s="7"/>
      <c r="H167" s="7"/>
      <c r="I167" s="7"/>
      <c r="J167" s="7"/>
    </row>
    <row r="168" spans="2:10" x14ac:dyDescent="0.15">
      <c r="B168"/>
      <c r="C168"/>
      <c r="D168"/>
      <c r="E168"/>
      <c r="F168" s="7"/>
      <c r="G168" s="7"/>
      <c r="H168" s="7"/>
      <c r="I168" s="7"/>
      <c r="J168" s="7"/>
    </row>
    <row r="169" spans="2:10" x14ac:dyDescent="0.15">
      <c r="B169"/>
      <c r="C169"/>
      <c r="D169"/>
      <c r="E169"/>
      <c r="F169" s="7"/>
      <c r="G169" s="7"/>
      <c r="H169" s="7"/>
      <c r="I169" s="7"/>
      <c r="J169" s="7"/>
    </row>
    <row r="170" spans="2:10" x14ac:dyDescent="0.15">
      <c r="B170"/>
      <c r="C170"/>
      <c r="D170"/>
      <c r="E170"/>
      <c r="F170" s="7"/>
      <c r="G170" s="7"/>
      <c r="H170" s="7"/>
      <c r="I170" s="7"/>
      <c r="J170" s="7"/>
    </row>
    <row r="171" spans="2:10" x14ac:dyDescent="0.15">
      <c r="B171"/>
      <c r="C171"/>
      <c r="D171"/>
      <c r="E171"/>
      <c r="F171" s="7"/>
      <c r="G171" s="7"/>
      <c r="H171" s="7"/>
      <c r="I171" s="7"/>
      <c r="J171" s="7"/>
    </row>
    <row r="172" spans="2:10" x14ac:dyDescent="0.15">
      <c r="B172"/>
      <c r="C172"/>
      <c r="D172"/>
      <c r="E172"/>
      <c r="F172" s="7"/>
      <c r="G172" s="7"/>
      <c r="H172" s="7"/>
      <c r="I172" s="7"/>
      <c r="J172" s="7"/>
    </row>
    <row r="173" spans="2:10" x14ac:dyDescent="0.15">
      <c r="B173"/>
      <c r="C173"/>
      <c r="D173"/>
      <c r="E173"/>
      <c r="F173" s="7"/>
      <c r="G173" s="7"/>
      <c r="H173" s="7"/>
      <c r="I173" s="7"/>
      <c r="J173" s="7"/>
    </row>
    <row r="174" spans="2:10" x14ac:dyDescent="0.15">
      <c r="B174"/>
      <c r="C174"/>
      <c r="D174"/>
      <c r="E174"/>
      <c r="F174" s="7"/>
      <c r="G174" s="7"/>
      <c r="H174" s="7"/>
      <c r="I174" s="7"/>
      <c r="J174" s="7"/>
    </row>
    <row r="175" spans="2:10" x14ac:dyDescent="0.15">
      <c r="B175"/>
      <c r="C175"/>
      <c r="D175"/>
      <c r="E175"/>
      <c r="F175" s="7"/>
      <c r="G175" s="7"/>
      <c r="H175" s="7"/>
      <c r="I175" s="7"/>
      <c r="J175" s="7"/>
    </row>
    <row r="176" spans="2:10" x14ac:dyDescent="0.15">
      <c r="B176"/>
      <c r="C176"/>
      <c r="D176"/>
      <c r="E176"/>
      <c r="F176" s="7"/>
      <c r="G176" s="7"/>
      <c r="H176" s="7"/>
      <c r="I176" s="7"/>
      <c r="J176" s="7"/>
    </row>
    <row r="177" spans="2:10" x14ac:dyDescent="0.15">
      <c r="B177"/>
      <c r="C177"/>
      <c r="D177"/>
      <c r="E177"/>
      <c r="F177" s="7"/>
      <c r="G177" s="7"/>
      <c r="H177" s="7"/>
      <c r="I177" s="7"/>
      <c r="J177" s="7"/>
    </row>
    <row r="178" spans="2:10" x14ac:dyDescent="0.15">
      <c r="B178"/>
      <c r="C178"/>
      <c r="D178"/>
      <c r="E178"/>
      <c r="F178" s="7"/>
      <c r="G178" s="7"/>
      <c r="H178" s="7"/>
      <c r="I178" s="7"/>
      <c r="J178" s="7"/>
    </row>
    <row r="179" spans="2:10" x14ac:dyDescent="0.15">
      <c r="B179"/>
      <c r="C179"/>
      <c r="D179"/>
      <c r="E179"/>
      <c r="F179" s="7"/>
      <c r="G179" s="7"/>
      <c r="H179" s="7"/>
      <c r="I179" s="7"/>
      <c r="J179" s="7"/>
    </row>
    <row r="180" spans="2:10" x14ac:dyDescent="0.15">
      <c r="B180"/>
      <c r="C180"/>
      <c r="D180"/>
      <c r="E180"/>
      <c r="F180" s="7"/>
      <c r="G180" s="7"/>
      <c r="H180" s="7"/>
      <c r="I180" s="7"/>
      <c r="J180" s="7"/>
    </row>
    <row r="181" spans="2:10" x14ac:dyDescent="0.15">
      <c r="B181"/>
      <c r="C181"/>
      <c r="D181"/>
      <c r="E181"/>
      <c r="F181" s="7"/>
      <c r="G181" s="7"/>
      <c r="H181" s="7"/>
      <c r="I181" s="7"/>
      <c r="J181" s="7"/>
    </row>
    <row r="182" spans="2:10" x14ac:dyDescent="0.15">
      <c r="B182"/>
      <c r="C182"/>
      <c r="D182"/>
      <c r="E182"/>
      <c r="F182" s="7"/>
      <c r="G182" s="7"/>
      <c r="H182" s="7"/>
      <c r="I182" s="7"/>
      <c r="J182" s="7"/>
    </row>
    <row r="183" spans="2:10" x14ac:dyDescent="0.15">
      <c r="B183"/>
      <c r="C183"/>
      <c r="D183"/>
      <c r="E183"/>
      <c r="F183" s="7"/>
      <c r="G183" s="7"/>
      <c r="H183" s="7"/>
      <c r="I183" s="7"/>
      <c r="J183" s="7"/>
    </row>
    <row r="184" spans="2:10" x14ac:dyDescent="0.15">
      <c r="B184"/>
      <c r="C184"/>
      <c r="D184"/>
      <c r="E184"/>
      <c r="F184" s="7"/>
      <c r="G184" s="7"/>
      <c r="H184" s="7"/>
      <c r="I184" s="7"/>
      <c r="J184" s="7"/>
    </row>
    <row r="185" spans="2:10" x14ac:dyDescent="0.15">
      <c r="B185"/>
      <c r="C185"/>
      <c r="D185"/>
      <c r="E185"/>
      <c r="F185" s="7"/>
      <c r="G185" s="7"/>
      <c r="H185" s="7"/>
      <c r="I185" s="7"/>
      <c r="J185" s="7"/>
    </row>
    <row r="186" spans="2:10" x14ac:dyDescent="0.15">
      <c r="B186"/>
      <c r="C186"/>
      <c r="D186"/>
      <c r="E186"/>
      <c r="F186" s="7"/>
      <c r="G186" s="7"/>
      <c r="H186" s="7"/>
      <c r="I186" s="7"/>
      <c r="J186" s="7"/>
    </row>
    <row r="187" spans="2:10" x14ac:dyDescent="0.15">
      <c r="B187"/>
      <c r="C187"/>
      <c r="D187"/>
      <c r="E187"/>
      <c r="F187" s="7"/>
      <c r="G187" s="7"/>
      <c r="H187" s="7"/>
      <c r="I187" s="7"/>
      <c r="J187" s="7"/>
    </row>
    <row r="188" spans="2:10" x14ac:dyDescent="0.15">
      <c r="B188"/>
      <c r="C188"/>
      <c r="D188"/>
      <c r="E188"/>
      <c r="F188" s="7"/>
      <c r="G188" s="7"/>
      <c r="H188" s="7"/>
      <c r="I188" s="7"/>
      <c r="J188" s="7"/>
    </row>
    <row r="189" spans="2:10" x14ac:dyDescent="0.15">
      <c r="B189"/>
      <c r="C189"/>
      <c r="D189"/>
      <c r="E189"/>
      <c r="F189" s="7"/>
      <c r="G189" s="7"/>
      <c r="H189" s="7"/>
      <c r="I189" s="7"/>
      <c r="J189" s="7"/>
    </row>
    <row r="190" spans="2:10" x14ac:dyDescent="0.15">
      <c r="B190"/>
      <c r="C190"/>
      <c r="D190"/>
      <c r="E190"/>
      <c r="F190" s="7"/>
      <c r="G190" s="7"/>
      <c r="H190" s="7"/>
      <c r="I190" s="7"/>
      <c r="J190" s="7"/>
    </row>
    <row r="191" spans="2:10" x14ac:dyDescent="0.15">
      <c r="B191"/>
      <c r="C191"/>
      <c r="D191"/>
      <c r="E191"/>
      <c r="F191" s="7"/>
      <c r="G191" s="7"/>
      <c r="H191" s="7"/>
      <c r="I191" s="7"/>
      <c r="J191" s="7"/>
    </row>
    <row r="192" spans="2:10" x14ac:dyDescent="0.15">
      <c r="B192"/>
      <c r="C192"/>
      <c r="D192"/>
      <c r="E192"/>
      <c r="F192" s="7"/>
      <c r="G192" s="7"/>
      <c r="H192" s="7"/>
      <c r="I192" s="7"/>
      <c r="J192" s="7"/>
    </row>
    <row r="193" spans="2:10" x14ac:dyDescent="0.15">
      <c r="B193"/>
      <c r="C193"/>
      <c r="D193"/>
      <c r="E193"/>
      <c r="F193" s="7"/>
      <c r="G193" s="7"/>
      <c r="H193" s="7"/>
      <c r="I193" s="7"/>
      <c r="J193" s="7"/>
    </row>
    <row r="194" spans="2:10" x14ac:dyDescent="0.15">
      <c r="B194"/>
      <c r="C194"/>
      <c r="D194"/>
      <c r="E194"/>
      <c r="F194" s="7"/>
      <c r="G194" s="7"/>
      <c r="H194" s="7"/>
      <c r="I194" s="7"/>
      <c r="J194" s="7"/>
    </row>
    <row r="195" spans="2:10" x14ac:dyDescent="0.15">
      <c r="B195"/>
      <c r="C195"/>
      <c r="D195"/>
      <c r="E195"/>
      <c r="F195" s="7"/>
      <c r="G195" s="7"/>
      <c r="H195" s="7"/>
      <c r="I195" s="7"/>
      <c r="J195" s="7"/>
    </row>
    <row r="196" spans="2:10" x14ac:dyDescent="0.15">
      <c r="B196"/>
      <c r="C196"/>
      <c r="D196"/>
      <c r="E196"/>
      <c r="F196" s="7"/>
      <c r="G196" s="7"/>
      <c r="H196" s="7"/>
      <c r="I196" s="7"/>
      <c r="J196" s="7"/>
    </row>
    <row r="197" spans="2:10" x14ac:dyDescent="0.15">
      <c r="B197"/>
      <c r="C197"/>
      <c r="D197"/>
      <c r="E197"/>
      <c r="F197" s="7"/>
      <c r="G197" s="7"/>
      <c r="H197" s="7"/>
      <c r="I197" s="7"/>
      <c r="J197" s="7"/>
    </row>
    <row r="198" spans="2:10" x14ac:dyDescent="0.15">
      <c r="B198"/>
      <c r="C198"/>
      <c r="D198"/>
      <c r="E198"/>
      <c r="F198" s="7"/>
      <c r="G198" s="7"/>
      <c r="H198" s="7"/>
      <c r="I198" s="7"/>
      <c r="J198" s="7"/>
    </row>
    <row r="199" spans="2:10" x14ac:dyDescent="0.15">
      <c r="B199"/>
      <c r="C199"/>
      <c r="D199"/>
      <c r="E199"/>
      <c r="F199" s="7"/>
      <c r="G199" s="7"/>
      <c r="H199" s="7"/>
      <c r="I199" s="7"/>
      <c r="J199" s="7"/>
    </row>
    <row r="200" spans="2:10" x14ac:dyDescent="0.15">
      <c r="B200"/>
      <c r="C200"/>
      <c r="D200"/>
      <c r="E200"/>
      <c r="F200" s="7"/>
      <c r="G200" s="7"/>
      <c r="H200" s="7"/>
      <c r="I200" s="7"/>
      <c r="J200" s="7"/>
    </row>
    <row r="201" spans="2:10" x14ac:dyDescent="0.15">
      <c r="B201"/>
      <c r="C201"/>
      <c r="D201"/>
      <c r="E201"/>
      <c r="F201" s="7"/>
      <c r="G201" s="7"/>
      <c r="H201" s="7"/>
      <c r="I201" s="7"/>
      <c r="J201" s="7"/>
    </row>
    <row r="202" spans="2:10" x14ac:dyDescent="0.15">
      <c r="B202"/>
      <c r="C202"/>
      <c r="D202"/>
      <c r="E202"/>
      <c r="F202" s="7"/>
      <c r="G202" s="7"/>
      <c r="H202" s="7"/>
      <c r="I202" s="7"/>
      <c r="J202" s="7"/>
    </row>
    <row r="203" spans="2:10" x14ac:dyDescent="0.15">
      <c r="B203"/>
      <c r="C203"/>
      <c r="D203"/>
      <c r="E203"/>
      <c r="F203" s="7"/>
      <c r="G203" s="7"/>
      <c r="H203" s="7"/>
      <c r="I203" s="7"/>
      <c r="J203" s="7"/>
    </row>
    <row r="204" spans="2:10" x14ac:dyDescent="0.15">
      <c r="B204"/>
      <c r="C204"/>
      <c r="D204"/>
      <c r="E204"/>
      <c r="F204" s="7"/>
      <c r="G204" s="7"/>
      <c r="H204" s="7"/>
      <c r="I204" s="7"/>
      <c r="J204" s="7"/>
    </row>
    <row r="205" spans="2:10" x14ac:dyDescent="0.15">
      <c r="B205"/>
      <c r="C205"/>
      <c r="D205"/>
      <c r="E205"/>
      <c r="F205" s="7"/>
      <c r="G205" s="7"/>
      <c r="H205" s="7"/>
      <c r="I205" s="7"/>
      <c r="J205" s="7"/>
    </row>
    <row r="206" spans="2:10" x14ac:dyDescent="0.15">
      <c r="B206"/>
      <c r="C206"/>
      <c r="D206"/>
      <c r="E206"/>
      <c r="F206" s="7"/>
      <c r="G206" s="7"/>
      <c r="H206" s="7"/>
      <c r="I206" s="7"/>
      <c r="J206" s="7"/>
    </row>
    <row r="207" spans="2:10" x14ac:dyDescent="0.15">
      <c r="B207"/>
      <c r="C207"/>
      <c r="D207"/>
      <c r="E207"/>
      <c r="F207" s="7"/>
      <c r="G207" s="7"/>
      <c r="H207" s="7"/>
      <c r="I207" s="7"/>
      <c r="J207" s="7"/>
    </row>
    <row r="208" spans="2:10" x14ac:dyDescent="0.15">
      <c r="B208"/>
      <c r="C208"/>
      <c r="D208"/>
      <c r="E208"/>
      <c r="F208" s="7"/>
      <c r="G208" s="7"/>
      <c r="H208" s="7"/>
      <c r="I208" s="7"/>
      <c r="J208" s="7"/>
    </row>
    <row r="209" spans="2:10" x14ac:dyDescent="0.15">
      <c r="B209"/>
      <c r="C209"/>
      <c r="D209"/>
      <c r="E209"/>
      <c r="F209" s="7"/>
      <c r="G209" s="7"/>
      <c r="H209" s="7"/>
      <c r="I209" s="7"/>
      <c r="J209" s="7"/>
    </row>
    <row r="210" spans="2:10" x14ac:dyDescent="0.15">
      <c r="B210"/>
      <c r="C210"/>
      <c r="D210"/>
      <c r="E210"/>
      <c r="F210" s="7"/>
      <c r="G210" s="7"/>
      <c r="H210" s="7"/>
      <c r="I210" s="7"/>
      <c r="J210" s="7"/>
    </row>
    <row r="211" spans="2:10" x14ac:dyDescent="0.15">
      <c r="B211"/>
      <c r="C211"/>
      <c r="D211"/>
      <c r="E211"/>
      <c r="F211" s="7"/>
      <c r="G211" s="7"/>
      <c r="H211" s="7"/>
      <c r="I211" s="7"/>
      <c r="J211" s="7"/>
    </row>
    <row r="212" spans="2:10" x14ac:dyDescent="0.15">
      <c r="B212"/>
      <c r="C212"/>
      <c r="D212"/>
      <c r="E212"/>
      <c r="F212" s="7"/>
      <c r="G212" s="7"/>
      <c r="H212" s="7"/>
      <c r="I212" s="7"/>
      <c r="J212" s="7"/>
    </row>
    <row r="213" spans="2:10" x14ac:dyDescent="0.15">
      <c r="B213"/>
      <c r="C213"/>
      <c r="D213"/>
      <c r="E213"/>
      <c r="F213" s="7"/>
      <c r="G213" s="7"/>
      <c r="H213" s="7"/>
      <c r="I213" s="7"/>
      <c r="J213" s="7"/>
    </row>
    <row r="214" spans="2:10" x14ac:dyDescent="0.15">
      <c r="B214"/>
      <c r="C214"/>
      <c r="D214"/>
      <c r="E214"/>
      <c r="F214" s="7"/>
      <c r="G214" s="7"/>
      <c r="H214" s="7"/>
      <c r="I214" s="7"/>
      <c r="J214" s="7"/>
    </row>
    <row r="215" spans="2:10" x14ac:dyDescent="0.15">
      <c r="B215"/>
      <c r="C215"/>
      <c r="D215"/>
      <c r="E215"/>
      <c r="F215" s="7"/>
      <c r="G215" s="7"/>
      <c r="H215" s="7"/>
      <c r="I215" s="7"/>
      <c r="J215" s="7"/>
    </row>
    <row r="216" spans="2:10" x14ac:dyDescent="0.15">
      <c r="B216"/>
      <c r="C216"/>
      <c r="D216"/>
      <c r="E216"/>
      <c r="F216" s="7"/>
      <c r="G216" s="7"/>
      <c r="H216" s="7"/>
      <c r="I216" s="7"/>
      <c r="J216" s="7"/>
    </row>
    <row r="217" spans="2:10" x14ac:dyDescent="0.15">
      <c r="B217"/>
      <c r="C217"/>
      <c r="D217"/>
      <c r="E217"/>
      <c r="F217" s="7"/>
      <c r="G217" s="7"/>
      <c r="H217" s="7"/>
      <c r="I217" s="7"/>
      <c r="J217" s="7"/>
    </row>
    <row r="218" spans="2:10" x14ac:dyDescent="0.15">
      <c r="B218"/>
      <c r="C218"/>
      <c r="D218"/>
      <c r="E218"/>
      <c r="F218" s="7"/>
      <c r="G218" s="7"/>
      <c r="H218" s="7"/>
      <c r="I218" s="7"/>
      <c r="J218" s="7"/>
    </row>
    <row r="219" spans="2:10" x14ac:dyDescent="0.15">
      <c r="B219"/>
      <c r="C219"/>
      <c r="D219"/>
      <c r="E219"/>
      <c r="F219" s="7"/>
      <c r="G219" s="7"/>
      <c r="H219" s="7"/>
      <c r="I219" s="7"/>
      <c r="J219" s="7"/>
    </row>
    <row r="220" spans="2:10" x14ac:dyDescent="0.15">
      <c r="B220"/>
      <c r="C220"/>
      <c r="D220"/>
      <c r="E220"/>
      <c r="F220" s="7"/>
      <c r="G220" s="7"/>
      <c r="H220" s="7"/>
      <c r="I220" s="7"/>
      <c r="J220" s="7"/>
    </row>
    <row r="221" spans="2:10" x14ac:dyDescent="0.15">
      <c r="B221"/>
      <c r="C221"/>
      <c r="D221"/>
      <c r="E221"/>
      <c r="F221" s="7"/>
      <c r="G221" s="7"/>
      <c r="H221" s="7"/>
      <c r="I221" s="7"/>
      <c r="J221" s="7"/>
    </row>
    <row r="222" spans="2:10" x14ac:dyDescent="0.15">
      <c r="B222"/>
      <c r="C222"/>
      <c r="D222"/>
      <c r="E222"/>
      <c r="F222" s="7"/>
      <c r="G222" s="7"/>
      <c r="H222" s="7"/>
      <c r="I222" s="7"/>
      <c r="J222" s="7"/>
    </row>
    <row r="223" spans="2:10" x14ac:dyDescent="0.15">
      <c r="B223"/>
      <c r="C223"/>
      <c r="D223"/>
      <c r="E223"/>
      <c r="F223" s="7"/>
      <c r="G223" s="7"/>
      <c r="H223" s="7"/>
      <c r="I223" s="7"/>
      <c r="J223" s="7"/>
    </row>
    <row r="224" spans="2:10" x14ac:dyDescent="0.15">
      <c r="B224"/>
      <c r="C224"/>
      <c r="D224"/>
      <c r="E224"/>
      <c r="F224" s="7"/>
      <c r="G224" s="7"/>
      <c r="H224" s="7"/>
      <c r="I224" s="7"/>
      <c r="J224" s="7"/>
    </row>
    <row r="225" spans="2:10" x14ac:dyDescent="0.15">
      <c r="B225"/>
      <c r="C225"/>
      <c r="D225"/>
      <c r="E225"/>
      <c r="F225" s="7"/>
      <c r="G225" s="7"/>
      <c r="H225" s="7"/>
      <c r="I225" s="7"/>
      <c r="J225" s="7"/>
    </row>
    <row r="226" spans="2:10" x14ac:dyDescent="0.15">
      <c r="B226"/>
      <c r="C226"/>
      <c r="D226"/>
      <c r="E226"/>
      <c r="F226" s="7"/>
      <c r="G226" s="7"/>
      <c r="H226" s="7"/>
      <c r="I226" s="7"/>
      <c r="J226" s="7"/>
    </row>
    <row r="227" spans="2:10" x14ac:dyDescent="0.15">
      <c r="B227"/>
      <c r="C227"/>
      <c r="D227"/>
      <c r="E227"/>
      <c r="F227" s="7"/>
      <c r="G227" s="7"/>
      <c r="H227" s="7"/>
      <c r="I227" s="7"/>
      <c r="J227" s="7"/>
    </row>
    <row r="228" spans="2:10" x14ac:dyDescent="0.15">
      <c r="B228"/>
      <c r="C228"/>
      <c r="D228"/>
      <c r="E228"/>
      <c r="F228" s="7"/>
      <c r="G228" s="7"/>
      <c r="H228" s="7"/>
      <c r="I228" s="7"/>
      <c r="J228" s="7"/>
    </row>
    <row r="229" spans="2:10" x14ac:dyDescent="0.15">
      <c r="B229"/>
      <c r="C229"/>
      <c r="D229"/>
      <c r="E229"/>
      <c r="F229" s="7"/>
      <c r="G229" s="7"/>
      <c r="H229" s="7"/>
      <c r="I229" s="7"/>
      <c r="J229" s="7"/>
    </row>
    <row r="230" spans="2:10" x14ac:dyDescent="0.15">
      <c r="B230"/>
      <c r="C230"/>
      <c r="D230"/>
      <c r="E230"/>
      <c r="F230" s="7"/>
      <c r="G230" s="7"/>
      <c r="H230" s="7"/>
      <c r="I230" s="7"/>
      <c r="J230" s="7"/>
    </row>
    <row r="231" spans="2:10" x14ac:dyDescent="0.15">
      <c r="B231"/>
      <c r="C231"/>
      <c r="D231"/>
      <c r="E231"/>
      <c r="F231" s="7"/>
      <c r="G231" s="7"/>
      <c r="H231" s="7"/>
      <c r="I231" s="7"/>
      <c r="J231" s="7"/>
    </row>
    <row r="232" spans="2:10" x14ac:dyDescent="0.15">
      <c r="B232"/>
      <c r="C232"/>
      <c r="D232"/>
      <c r="E232"/>
      <c r="F232" s="7"/>
      <c r="G232" s="7"/>
      <c r="H232" s="7"/>
      <c r="I232" s="7"/>
      <c r="J232" s="7"/>
    </row>
    <row r="233" spans="2:10" x14ac:dyDescent="0.15">
      <c r="B233"/>
      <c r="C233"/>
      <c r="D233"/>
      <c r="E233"/>
      <c r="F233" s="7"/>
      <c r="G233" s="7"/>
      <c r="H233" s="7"/>
      <c r="I233" s="7"/>
      <c r="J233" s="7"/>
    </row>
    <row r="234" spans="2:10" x14ac:dyDescent="0.15">
      <c r="B234"/>
      <c r="C234"/>
      <c r="D234"/>
      <c r="E234"/>
      <c r="F234" s="7"/>
      <c r="G234" s="7"/>
      <c r="H234" s="7"/>
      <c r="I234" s="7"/>
      <c r="J234" s="7"/>
    </row>
    <row r="235" spans="2:10" x14ac:dyDescent="0.15">
      <c r="B235"/>
      <c r="C235"/>
      <c r="D235"/>
      <c r="E235"/>
      <c r="F235" s="7"/>
      <c r="G235" s="7"/>
      <c r="H235" s="7"/>
      <c r="I235" s="7"/>
      <c r="J235" s="7"/>
    </row>
    <row r="236" spans="2:10" x14ac:dyDescent="0.15">
      <c r="B236"/>
      <c r="C236"/>
      <c r="D236"/>
      <c r="E236"/>
      <c r="F236" s="7"/>
      <c r="G236" s="7"/>
      <c r="H236" s="7"/>
      <c r="I236" s="7"/>
      <c r="J236" s="7"/>
    </row>
    <row r="237" spans="2:10" x14ac:dyDescent="0.15">
      <c r="B237"/>
      <c r="C237"/>
      <c r="D237"/>
      <c r="E237"/>
      <c r="F237" s="7"/>
      <c r="G237" s="7"/>
      <c r="H237" s="7"/>
      <c r="I237" s="7"/>
      <c r="J237" s="7"/>
    </row>
    <row r="238" spans="2:10" x14ac:dyDescent="0.15">
      <c r="B238"/>
      <c r="C238"/>
      <c r="D238"/>
      <c r="E238"/>
      <c r="F238" s="7"/>
      <c r="G238" s="7"/>
      <c r="H238" s="7"/>
      <c r="I238" s="7"/>
      <c r="J238" s="7"/>
    </row>
    <row r="239" spans="2:10" x14ac:dyDescent="0.15">
      <c r="B239"/>
      <c r="C239"/>
      <c r="D239"/>
      <c r="E239"/>
      <c r="F239" s="7"/>
      <c r="G239" s="7"/>
      <c r="H239" s="7"/>
      <c r="I239" s="7"/>
      <c r="J239" s="7"/>
    </row>
    <row r="240" spans="2:10" x14ac:dyDescent="0.15">
      <c r="B240"/>
      <c r="C240"/>
      <c r="D240"/>
      <c r="E240"/>
      <c r="F240" s="7"/>
      <c r="G240" s="7"/>
      <c r="H240" s="7"/>
      <c r="I240" s="7"/>
      <c r="J240" s="7"/>
    </row>
    <row r="241" spans="2:10" x14ac:dyDescent="0.15">
      <c r="B241"/>
      <c r="C241"/>
      <c r="D241"/>
      <c r="E241"/>
      <c r="F241" s="7"/>
      <c r="G241" s="7"/>
      <c r="H241" s="7"/>
      <c r="I241" s="7"/>
      <c r="J241" s="7"/>
    </row>
    <row r="242" spans="2:10" x14ac:dyDescent="0.15">
      <c r="B242"/>
      <c r="C242"/>
      <c r="D242"/>
      <c r="E242"/>
      <c r="F242" s="7"/>
      <c r="G242" s="7"/>
      <c r="H242" s="7"/>
      <c r="I242" s="7"/>
      <c r="J242" s="7"/>
    </row>
    <row r="243" spans="2:10" x14ac:dyDescent="0.15">
      <c r="B243"/>
      <c r="C243"/>
      <c r="D243"/>
      <c r="E243"/>
      <c r="F243" s="7"/>
      <c r="G243" s="7"/>
      <c r="H243" s="7"/>
      <c r="I243" s="7"/>
      <c r="J243" s="7"/>
    </row>
    <row r="244" spans="2:10" x14ac:dyDescent="0.15">
      <c r="B244"/>
      <c r="C244"/>
      <c r="D244"/>
      <c r="E244"/>
      <c r="F244" s="7"/>
      <c r="G244" s="7"/>
      <c r="H244" s="7"/>
      <c r="I244" s="7"/>
      <c r="J244" s="7"/>
    </row>
    <row r="245" spans="2:10" x14ac:dyDescent="0.15">
      <c r="B245"/>
      <c r="C245"/>
      <c r="D245"/>
      <c r="E245"/>
      <c r="F245" s="7"/>
      <c r="G245" s="7"/>
      <c r="H245" s="7"/>
      <c r="I245" s="7"/>
      <c r="J245" s="7"/>
    </row>
    <row r="246" spans="2:10" x14ac:dyDescent="0.15">
      <c r="B246"/>
      <c r="C246"/>
      <c r="D246"/>
      <c r="E246"/>
      <c r="F246" s="7"/>
      <c r="G246" s="7"/>
      <c r="H246" s="7"/>
      <c r="I246" s="7"/>
      <c r="J246" s="7"/>
    </row>
    <row r="247" spans="2:10" x14ac:dyDescent="0.15">
      <c r="B247"/>
      <c r="C247"/>
      <c r="D247"/>
      <c r="E247"/>
      <c r="F247" s="7"/>
      <c r="G247" s="7"/>
      <c r="H247" s="7"/>
      <c r="I247" s="7"/>
      <c r="J247" s="7"/>
    </row>
    <row r="248" spans="2:10" x14ac:dyDescent="0.15">
      <c r="B248"/>
      <c r="C248"/>
      <c r="D248"/>
      <c r="E248"/>
      <c r="F248" s="7"/>
      <c r="G248" s="7"/>
      <c r="H248" s="7"/>
      <c r="I248" s="7"/>
      <c r="J248" s="7"/>
    </row>
    <row r="249" spans="2:10" x14ac:dyDescent="0.15">
      <c r="B249"/>
      <c r="C249"/>
      <c r="D249"/>
      <c r="E249"/>
      <c r="F249" s="7"/>
      <c r="G249" s="7"/>
      <c r="H249" s="7"/>
      <c r="I249" s="7"/>
      <c r="J249" s="7"/>
    </row>
    <row r="250" spans="2:10" x14ac:dyDescent="0.15">
      <c r="B250"/>
      <c r="C250"/>
      <c r="D250"/>
      <c r="E250"/>
      <c r="F250" s="7"/>
      <c r="G250" s="7"/>
      <c r="H250" s="7"/>
      <c r="I250" s="7"/>
      <c r="J250" s="7"/>
    </row>
    <row r="251" spans="2:10" x14ac:dyDescent="0.15">
      <c r="B251"/>
      <c r="C251"/>
      <c r="D251"/>
      <c r="E251"/>
      <c r="F251" s="7"/>
      <c r="G251" s="7"/>
      <c r="H251" s="7"/>
      <c r="I251" s="7"/>
      <c r="J251" s="7"/>
    </row>
    <row r="252" spans="2:10" x14ac:dyDescent="0.15">
      <c r="B252"/>
      <c r="C252"/>
      <c r="D252"/>
      <c r="E252"/>
      <c r="F252" s="7"/>
      <c r="G252" s="7"/>
      <c r="H252" s="7"/>
      <c r="I252" s="7"/>
      <c r="J252" s="7"/>
    </row>
    <row r="253" spans="2:10" x14ac:dyDescent="0.15">
      <c r="B253"/>
      <c r="C253"/>
      <c r="D253"/>
      <c r="E253"/>
      <c r="F253" s="7"/>
      <c r="G253" s="7"/>
      <c r="H253" s="7"/>
      <c r="I253" s="7"/>
      <c r="J253" s="7"/>
    </row>
    <row r="254" spans="2:10" x14ac:dyDescent="0.15">
      <c r="B254"/>
      <c r="C254"/>
      <c r="D254"/>
      <c r="E254"/>
      <c r="F254" s="7"/>
      <c r="G254" s="7"/>
      <c r="H254" s="7"/>
      <c r="I254" s="7"/>
      <c r="J254" s="7"/>
    </row>
    <row r="255" spans="2:10" x14ac:dyDescent="0.15">
      <c r="B255"/>
      <c r="C255"/>
      <c r="D255"/>
      <c r="E255"/>
      <c r="F255" s="7"/>
      <c r="G255" s="7"/>
      <c r="H255" s="7"/>
      <c r="I255" s="7"/>
      <c r="J255" s="7"/>
    </row>
    <row r="256" spans="2:10" x14ac:dyDescent="0.15">
      <c r="B256"/>
      <c r="C256"/>
      <c r="D256"/>
      <c r="E256"/>
      <c r="F256" s="7"/>
      <c r="G256" s="7"/>
      <c r="H256" s="7"/>
      <c r="I256" s="7"/>
      <c r="J256" s="7"/>
    </row>
    <row r="257" spans="2:10" x14ac:dyDescent="0.15">
      <c r="B257"/>
      <c r="C257"/>
      <c r="D257"/>
      <c r="E257"/>
      <c r="F257" s="7"/>
      <c r="G257" s="7"/>
      <c r="H257" s="7"/>
      <c r="I257" s="7"/>
      <c r="J257" s="7"/>
    </row>
    <row r="258" spans="2:10" x14ac:dyDescent="0.15">
      <c r="B258"/>
      <c r="C258"/>
      <c r="D258"/>
      <c r="E258"/>
      <c r="F258" s="7"/>
      <c r="G258" s="7"/>
      <c r="H258" s="7"/>
      <c r="I258" s="7"/>
      <c r="J258" s="7"/>
    </row>
    <row r="259" spans="2:10" x14ac:dyDescent="0.15">
      <c r="B259"/>
      <c r="C259"/>
      <c r="D259"/>
      <c r="E259"/>
      <c r="F259" s="7"/>
      <c r="G259" s="7"/>
      <c r="H259" s="7"/>
      <c r="I259" s="7"/>
      <c r="J259" s="7"/>
    </row>
    <row r="260" spans="2:10" x14ac:dyDescent="0.15">
      <c r="B260"/>
      <c r="C260"/>
      <c r="D260"/>
      <c r="E260"/>
      <c r="F260" s="7"/>
      <c r="G260" s="7"/>
      <c r="H260" s="7"/>
      <c r="I260" s="7"/>
      <c r="J260" s="7"/>
    </row>
    <row r="261" spans="2:10" x14ac:dyDescent="0.15">
      <c r="B261"/>
      <c r="C261"/>
      <c r="D261"/>
      <c r="E261"/>
      <c r="F261" s="7"/>
      <c r="G261" s="7"/>
      <c r="H261" s="7"/>
      <c r="I261" s="7"/>
      <c r="J261" s="7"/>
    </row>
    <row r="262" spans="2:10" x14ac:dyDescent="0.15">
      <c r="B262"/>
      <c r="C262"/>
      <c r="D262"/>
      <c r="E262"/>
      <c r="F262" s="7"/>
      <c r="G262" s="7"/>
      <c r="H262" s="7"/>
      <c r="I262" s="7"/>
      <c r="J262" s="7"/>
    </row>
    <row r="263" spans="2:10" x14ac:dyDescent="0.15">
      <c r="B263"/>
      <c r="C263"/>
      <c r="D263"/>
      <c r="E263"/>
      <c r="F263" s="7"/>
      <c r="G263" s="7"/>
      <c r="H263" s="7"/>
      <c r="I263" s="7"/>
      <c r="J263" s="7"/>
    </row>
    <row r="264" spans="2:10" x14ac:dyDescent="0.15">
      <c r="B264"/>
      <c r="C264"/>
      <c r="D264"/>
      <c r="E264"/>
      <c r="F264" s="7"/>
      <c r="G264" s="7"/>
      <c r="H264" s="7"/>
      <c r="I264" s="7"/>
      <c r="J264" s="7"/>
    </row>
    <row r="265" spans="2:10" x14ac:dyDescent="0.15">
      <c r="B265"/>
      <c r="C265"/>
      <c r="D265"/>
      <c r="E265"/>
      <c r="F265" s="7"/>
      <c r="G265" s="7"/>
      <c r="H265" s="7"/>
      <c r="I265" s="7"/>
      <c r="J265" s="7"/>
    </row>
    <row r="266" spans="2:10" x14ac:dyDescent="0.15">
      <c r="B266"/>
      <c r="C266"/>
      <c r="D266"/>
      <c r="E266"/>
      <c r="F266" s="7"/>
      <c r="G266" s="7"/>
      <c r="H266" s="7"/>
      <c r="I266" s="7"/>
      <c r="J266" s="7"/>
    </row>
    <row r="267" spans="2:10" x14ac:dyDescent="0.15">
      <c r="B267"/>
      <c r="C267"/>
      <c r="D267"/>
      <c r="E267"/>
      <c r="F267" s="7"/>
      <c r="G267" s="7"/>
      <c r="H267" s="7"/>
      <c r="I267" s="7"/>
      <c r="J267" s="7"/>
    </row>
    <row r="268" spans="2:10" x14ac:dyDescent="0.15">
      <c r="B268"/>
      <c r="C268"/>
      <c r="D268"/>
      <c r="E268"/>
      <c r="F268" s="7"/>
      <c r="G268" s="7"/>
      <c r="H268" s="7"/>
      <c r="I268" s="7"/>
      <c r="J268" s="7"/>
    </row>
    <row r="269" spans="2:10" x14ac:dyDescent="0.15">
      <c r="B269"/>
      <c r="C269"/>
      <c r="D269"/>
      <c r="E269"/>
      <c r="F269" s="7"/>
      <c r="G269" s="7"/>
      <c r="H269" s="7"/>
      <c r="I269" s="7"/>
      <c r="J269" s="7"/>
    </row>
    <row r="270" spans="2:10" x14ac:dyDescent="0.15">
      <c r="B270"/>
      <c r="C270"/>
      <c r="D270"/>
      <c r="E270"/>
      <c r="F270" s="7"/>
      <c r="G270" s="7"/>
      <c r="H270" s="7"/>
      <c r="I270" s="7"/>
      <c r="J270" s="7"/>
    </row>
    <row r="271" spans="2:10" x14ac:dyDescent="0.15">
      <c r="B271"/>
      <c r="C271"/>
      <c r="D271"/>
      <c r="E271"/>
      <c r="F271" s="7"/>
      <c r="G271" s="7"/>
      <c r="H271" s="7"/>
      <c r="I271" s="7"/>
      <c r="J271" s="7"/>
    </row>
    <row r="272" spans="2:10" x14ac:dyDescent="0.15">
      <c r="B272"/>
      <c r="C272"/>
      <c r="D272"/>
      <c r="E272"/>
      <c r="F272" s="7"/>
      <c r="G272" s="7"/>
      <c r="H272" s="7"/>
      <c r="I272" s="7"/>
      <c r="J272" s="7"/>
    </row>
    <row r="273" spans="2:10" x14ac:dyDescent="0.15">
      <c r="B273"/>
      <c r="C273"/>
      <c r="D273"/>
      <c r="E273"/>
      <c r="F273" s="7"/>
      <c r="G273" s="7"/>
      <c r="H273" s="7"/>
      <c r="I273" s="7"/>
      <c r="J273" s="7"/>
    </row>
    <row r="274" spans="2:10" x14ac:dyDescent="0.15">
      <c r="B274"/>
      <c r="C274"/>
      <c r="D274"/>
      <c r="E274"/>
      <c r="F274" s="7"/>
      <c r="G274" s="7"/>
      <c r="H274" s="7"/>
      <c r="I274" s="7"/>
      <c r="J274" s="7"/>
    </row>
    <row r="275" spans="2:10" x14ac:dyDescent="0.15">
      <c r="B275"/>
      <c r="C275"/>
      <c r="D275"/>
      <c r="E275"/>
      <c r="F275" s="7"/>
      <c r="G275" s="7"/>
      <c r="H275" s="7"/>
      <c r="I275" s="7"/>
      <c r="J275" s="7"/>
    </row>
    <row r="276" spans="2:10" x14ac:dyDescent="0.15">
      <c r="B276"/>
      <c r="C276"/>
      <c r="D276"/>
      <c r="E276"/>
      <c r="F276" s="7"/>
      <c r="G276" s="7"/>
      <c r="H276" s="7"/>
      <c r="I276" s="7"/>
      <c r="J276" s="7"/>
    </row>
    <row r="277" spans="2:10" x14ac:dyDescent="0.15">
      <c r="B277"/>
      <c r="C277"/>
      <c r="D277"/>
      <c r="E277"/>
      <c r="F277" s="7"/>
      <c r="G277" s="7"/>
      <c r="H277" s="7"/>
      <c r="I277" s="7"/>
      <c r="J277" s="7"/>
    </row>
    <row r="278" spans="2:10" x14ac:dyDescent="0.15">
      <c r="B278"/>
      <c r="C278"/>
      <c r="D278"/>
      <c r="E278"/>
      <c r="F278" s="7"/>
      <c r="G278" s="7"/>
      <c r="H278" s="7"/>
      <c r="I278" s="7"/>
      <c r="J278" s="7"/>
    </row>
    <row r="279" spans="2:10" x14ac:dyDescent="0.15">
      <c r="B279"/>
      <c r="C279"/>
      <c r="D279"/>
      <c r="E279"/>
      <c r="F279" s="7"/>
      <c r="G279" s="7"/>
      <c r="H279" s="7"/>
      <c r="I279" s="7"/>
      <c r="J279" s="7"/>
    </row>
    <row r="280" spans="2:10" x14ac:dyDescent="0.15">
      <c r="B280"/>
      <c r="C280"/>
      <c r="D280"/>
      <c r="E280"/>
      <c r="F280" s="7"/>
      <c r="G280" s="7"/>
      <c r="H280" s="7"/>
      <c r="I280" s="7"/>
      <c r="J280" s="7"/>
    </row>
    <row r="281" spans="2:10" x14ac:dyDescent="0.15">
      <c r="B281"/>
      <c r="C281"/>
      <c r="D281"/>
      <c r="E281"/>
      <c r="F281" s="7"/>
      <c r="G281" s="7"/>
      <c r="H281" s="7"/>
      <c r="I281" s="7"/>
      <c r="J281" s="7"/>
    </row>
    <row r="282" spans="2:10" x14ac:dyDescent="0.15">
      <c r="B282"/>
      <c r="C282"/>
      <c r="D282"/>
      <c r="E282"/>
      <c r="F282" s="7"/>
      <c r="G282" s="7"/>
      <c r="H282" s="7"/>
      <c r="I282" s="7"/>
      <c r="J282" s="7"/>
    </row>
    <row r="283" spans="2:10" x14ac:dyDescent="0.15">
      <c r="B283"/>
      <c r="C283"/>
      <c r="D283"/>
      <c r="E283"/>
      <c r="F283" s="7"/>
      <c r="G283" s="7"/>
      <c r="H283" s="7"/>
      <c r="I283" s="7"/>
      <c r="J283" s="7"/>
    </row>
    <row r="284" spans="2:10" x14ac:dyDescent="0.15">
      <c r="B284"/>
      <c r="C284"/>
      <c r="D284"/>
      <c r="E284"/>
      <c r="F284" s="7"/>
      <c r="G284" s="7"/>
      <c r="H284" s="7"/>
      <c r="I284" s="7"/>
      <c r="J284" s="7"/>
    </row>
    <row r="285" spans="2:10" x14ac:dyDescent="0.15">
      <c r="B285"/>
      <c r="C285"/>
      <c r="D285"/>
      <c r="E285"/>
      <c r="F285" s="7"/>
      <c r="G285" s="7"/>
      <c r="H285" s="7"/>
      <c r="I285" s="7"/>
      <c r="J285" s="7"/>
    </row>
    <row r="286" spans="2:10" x14ac:dyDescent="0.15">
      <c r="B286"/>
      <c r="C286"/>
      <c r="D286"/>
      <c r="E286"/>
      <c r="F286" s="7"/>
      <c r="G286" s="7"/>
      <c r="H286" s="7"/>
      <c r="I286" s="7"/>
      <c r="J286" s="7"/>
    </row>
    <row r="287" spans="2:10" x14ac:dyDescent="0.15">
      <c r="B287"/>
      <c r="C287"/>
      <c r="D287"/>
      <c r="E287"/>
      <c r="F287" s="7"/>
      <c r="G287" s="7"/>
      <c r="H287" s="7"/>
      <c r="I287" s="7"/>
      <c r="J287" s="7"/>
    </row>
    <row r="288" spans="2:10" x14ac:dyDescent="0.15">
      <c r="B288"/>
      <c r="C288"/>
      <c r="D288"/>
      <c r="E288"/>
      <c r="F288" s="7"/>
      <c r="G288" s="7"/>
      <c r="H288" s="7"/>
      <c r="I288" s="7"/>
      <c r="J288" s="7"/>
    </row>
    <row r="289" spans="2:10" x14ac:dyDescent="0.15">
      <c r="B289"/>
      <c r="C289"/>
      <c r="D289"/>
      <c r="E289"/>
      <c r="F289" s="7"/>
      <c r="G289" s="7"/>
      <c r="H289" s="7"/>
      <c r="I289" s="7"/>
      <c r="J289" s="7"/>
    </row>
    <row r="290" spans="2:10" x14ac:dyDescent="0.15">
      <c r="B290"/>
      <c r="C290"/>
      <c r="D290"/>
      <c r="E290"/>
      <c r="F290" s="7"/>
      <c r="G290" s="7"/>
      <c r="H290" s="7"/>
      <c r="I290" s="7"/>
      <c r="J290" s="7"/>
    </row>
    <row r="291" spans="2:10" x14ac:dyDescent="0.15">
      <c r="B291"/>
      <c r="C291"/>
      <c r="D291"/>
      <c r="E291"/>
      <c r="F291" s="7"/>
      <c r="G291" s="7"/>
      <c r="H291" s="7"/>
      <c r="I291" s="7"/>
      <c r="J291" s="7"/>
    </row>
    <row r="292" spans="2:10" x14ac:dyDescent="0.15">
      <c r="B292"/>
      <c r="C292"/>
      <c r="D292"/>
      <c r="E292"/>
      <c r="F292" s="7"/>
      <c r="G292" s="7"/>
      <c r="H292" s="7"/>
      <c r="I292" s="7"/>
      <c r="J292" s="7"/>
    </row>
    <row r="293" spans="2:10" x14ac:dyDescent="0.15">
      <c r="B293"/>
      <c r="C293"/>
      <c r="D293"/>
      <c r="E293"/>
      <c r="F293" s="7"/>
      <c r="G293" s="7"/>
      <c r="H293" s="7"/>
      <c r="I293" s="7"/>
      <c r="J293" s="7"/>
    </row>
    <row r="294" spans="2:10" x14ac:dyDescent="0.15">
      <c r="B294"/>
      <c r="C294"/>
      <c r="D294"/>
      <c r="E294"/>
      <c r="F294" s="7"/>
      <c r="G294" s="7"/>
      <c r="H294" s="7"/>
      <c r="I294" s="7"/>
      <c r="J294" s="7"/>
    </row>
    <row r="295" spans="2:10" x14ac:dyDescent="0.15">
      <c r="B295"/>
      <c r="C295"/>
      <c r="D295"/>
      <c r="E295"/>
      <c r="F295" s="7"/>
      <c r="G295" s="7"/>
      <c r="H295" s="7"/>
      <c r="I295" s="7"/>
      <c r="J295" s="7"/>
    </row>
    <row r="296" spans="2:10" x14ac:dyDescent="0.15">
      <c r="B296"/>
      <c r="C296"/>
      <c r="D296"/>
      <c r="E296"/>
      <c r="F296" s="7"/>
      <c r="G296" s="7"/>
      <c r="H296" s="7"/>
      <c r="I296" s="7"/>
      <c r="J296" s="7"/>
    </row>
    <row r="297" spans="2:10" x14ac:dyDescent="0.15">
      <c r="B297"/>
      <c r="C297"/>
      <c r="D297"/>
      <c r="E297"/>
      <c r="F297" s="7"/>
      <c r="G297" s="7"/>
      <c r="H297" s="7"/>
      <c r="I297" s="7"/>
      <c r="J297" s="7"/>
    </row>
    <row r="298" spans="2:10" x14ac:dyDescent="0.15">
      <c r="B298"/>
      <c r="C298"/>
      <c r="D298"/>
      <c r="E298"/>
      <c r="F298" s="7"/>
      <c r="G298" s="7"/>
      <c r="H298" s="7"/>
      <c r="I298" s="7"/>
      <c r="J298" s="7"/>
    </row>
    <row r="299" spans="2:10" x14ac:dyDescent="0.15">
      <c r="B299"/>
      <c r="C299"/>
      <c r="D299"/>
      <c r="E299"/>
      <c r="F299" s="7"/>
      <c r="G299" s="7"/>
      <c r="H299" s="7"/>
      <c r="I299" s="7"/>
      <c r="J299" s="7"/>
    </row>
    <row r="300" spans="2:10" x14ac:dyDescent="0.15">
      <c r="B300"/>
      <c r="C300"/>
      <c r="D300"/>
      <c r="E300"/>
      <c r="F300" s="7"/>
      <c r="G300" s="7"/>
      <c r="H300" s="7"/>
      <c r="I300" s="7"/>
      <c r="J300" s="7"/>
    </row>
    <row r="301" spans="2:10" x14ac:dyDescent="0.15">
      <c r="B301"/>
      <c r="C301"/>
      <c r="D301"/>
      <c r="E301"/>
      <c r="F301" s="7"/>
      <c r="G301" s="7"/>
      <c r="H301" s="7"/>
      <c r="I301" s="7"/>
      <c r="J301" s="7"/>
    </row>
    <row r="302" spans="2:10" x14ac:dyDescent="0.15">
      <c r="B302"/>
      <c r="C302"/>
      <c r="D302"/>
      <c r="E302"/>
      <c r="F302" s="7"/>
      <c r="G302" s="7"/>
      <c r="H302" s="7"/>
      <c r="I302" s="7"/>
      <c r="J302" s="7"/>
    </row>
    <row r="303" spans="2:10" x14ac:dyDescent="0.15">
      <c r="B303"/>
      <c r="C303"/>
      <c r="D303"/>
      <c r="E303"/>
      <c r="F303" s="7"/>
      <c r="G303" s="7"/>
      <c r="H303" s="7"/>
      <c r="I303" s="7"/>
      <c r="J303" s="7"/>
    </row>
    <row r="304" spans="2:10" x14ac:dyDescent="0.15">
      <c r="B304"/>
      <c r="C304"/>
      <c r="D304"/>
      <c r="E304"/>
      <c r="F304" s="7"/>
      <c r="G304" s="7"/>
      <c r="H304" s="7"/>
      <c r="I304" s="7"/>
      <c r="J304" s="7"/>
    </row>
    <row r="305" spans="2:10" x14ac:dyDescent="0.15">
      <c r="B305"/>
      <c r="C305"/>
      <c r="D305"/>
      <c r="E305"/>
      <c r="F305" s="7"/>
      <c r="G305" s="7"/>
      <c r="H305" s="7"/>
      <c r="I305" s="7"/>
      <c r="J305" s="7"/>
    </row>
    <row r="306" spans="2:10" x14ac:dyDescent="0.15">
      <c r="B306"/>
      <c r="C306"/>
      <c r="D306"/>
      <c r="E306"/>
      <c r="F306" s="7"/>
      <c r="G306" s="7"/>
      <c r="H306" s="7"/>
      <c r="I306" s="7"/>
      <c r="J306" s="7"/>
    </row>
    <row r="307" spans="2:10" x14ac:dyDescent="0.15">
      <c r="B307"/>
      <c r="C307"/>
      <c r="D307"/>
      <c r="E307"/>
      <c r="F307" s="7"/>
      <c r="G307" s="7"/>
      <c r="H307" s="7"/>
      <c r="I307" s="7"/>
      <c r="J307" s="7"/>
    </row>
    <row r="308" spans="2:10" x14ac:dyDescent="0.15">
      <c r="B308"/>
      <c r="C308"/>
      <c r="D308"/>
      <c r="E308"/>
      <c r="F308" s="7"/>
      <c r="G308" s="7"/>
      <c r="H308" s="7"/>
      <c r="I308" s="7"/>
      <c r="J308" s="7"/>
    </row>
    <row r="309" spans="2:10" x14ac:dyDescent="0.15">
      <c r="B309"/>
      <c r="C309"/>
      <c r="D309"/>
      <c r="E309"/>
      <c r="F309" s="7"/>
      <c r="G309" s="7"/>
      <c r="H309" s="7"/>
      <c r="I309" s="7"/>
      <c r="J309" s="7"/>
    </row>
    <row r="310" spans="2:10" x14ac:dyDescent="0.15">
      <c r="B310"/>
      <c r="C310"/>
      <c r="D310"/>
      <c r="E310"/>
      <c r="F310" s="7"/>
      <c r="G310" s="7"/>
      <c r="H310" s="7"/>
      <c r="I310" s="7"/>
      <c r="J310" s="7"/>
    </row>
    <row r="311" spans="2:10" x14ac:dyDescent="0.15">
      <c r="B311"/>
      <c r="C311"/>
      <c r="D311"/>
      <c r="E311"/>
      <c r="F311" s="7"/>
      <c r="G311" s="7"/>
      <c r="H311" s="7"/>
      <c r="I311" s="7"/>
      <c r="J311" s="7"/>
    </row>
    <row r="312" spans="2:10" x14ac:dyDescent="0.15">
      <c r="B312"/>
      <c r="C312"/>
      <c r="D312"/>
      <c r="E312"/>
      <c r="F312" s="7"/>
      <c r="G312" s="7"/>
      <c r="H312" s="7"/>
      <c r="I312" s="7"/>
      <c r="J312" s="7"/>
    </row>
    <row r="313" spans="2:10" x14ac:dyDescent="0.15">
      <c r="B313"/>
      <c r="C313"/>
      <c r="D313"/>
      <c r="E313"/>
      <c r="F313" s="7"/>
      <c r="G313" s="7"/>
      <c r="H313" s="7"/>
      <c r="I313" s="7"/>
      <c r="J313" s="7"/>
    </row>
    <row r="314" spans="2:10" x14ac:dyDescent="0.15">
      <c r="B314"/>
      <c r="C314"/>
      <c r="D314"/>
      <c r="E314"/>
      <c r="F314" s="7"/>
      <c r="G314" s="7"/>
      <c r="H314" s="7"/>
      <c r="I314" s="7"/>
      <c r="J314" s="7"/>
    </row>
    <row r="315" spans="2:10" x14ac:dyDescent="0.15">
      <c r="B315"/>
      <c r="C315"/>
      <c r="D315"/>
      <c r="E315"/>
      <c r="F315" s="7"/>
      <c r="G315" s="7"/>
      <c r="H315" s="7"/>
      <c r="I315" s="7"/>
      <c r="J315" s="7"/>
    </row>
    <row r="316" spans="2:10" x14ac:dyDescent="0.15">
      <c r="B316"/>
      <c r="C316"/>
      <c r="D316"/>
      <c r="E316"/>
      <c r="F316" s="7"/>
      <c r="G316" s="7"/>
      <c r="H316" s="7"/>
      <c r="I316" s="7"/>
      <c r="J316" s="7"/>
    </row>
    <row r="317" spans="2:10" x14ac:dyDescent="0.15">
      <c r="B317"/>
      <c r="C317"/>
      <c r="D317"/>
      <c r="E317"/>
      <c r="F317" s="7"/>
      <c r="G317" s="7"/>
      <c r="H317" s="7"/>
      <c r="I317" s="7"/>
      <c r="J317" s="7"/>
    </row>
    <row r="318" spans="2:10" x14ac:dyDescent="0.15">
      <c r="B318"/>
      <c r="C318"/>
      <c r="D318"/>
      <c r="E318"/>
      <c r="F318" s="7"/>
      <c r="G318" s="7"/>
      <c r="H318" s="7"/>
      <c r="I318" s="7"/>
      <c r="J318" s="7"/>
    </row>
    <row r="319" spans="2:10" x14ac:dyDescent="0.15">
      <c r="B319"/>
      <c r="C319"/>
      <c r="D319"/>
      <c r="E319"/>
      <c r="F319" s="7"/>
      <c r="G319" s="7"/>
      <c r="H319" s="7"/>
      <c r="I319" s="7"/>
      <c r="J319" s="7"/>
    </row>
    <row r="320" spans="2:10" x14ac:dyDescent="0.15">
      <c r="B320"/>
      <c r="C320"/>
      <c r="D320"/>
      <c r="E320"/>
      <c r="F320" s="7"/>
      <c r="G320" s="7"/>
      <c r="H320" s="7"/>
      <c r="I320" s="7"/>
      <c r="J320" s="7"/>
    </row>
    <row r="321" spans="2:10" x14ac:dyDescent="0.15">
      <c r="B321"/>
      <c r="C321"/>
      <c r="D321"/>
      <c r="E321"/>
      <c r="F321" s="7"/>
      <c r="G321" s="7"/>
      <c r="H321" s="7"/>
      <c r="I321" s="7"/>
      <c r="J321" s="7"/>
    </row>
    <row r="322" spans="2:10" x14ac:dyDescent="0.15">
      <c r="B322"/>
      <c r="C322"/>
      <c r="D322"/>
      <c r="E322"/>
      <c r="F322" s="7"/>
      <c r="G322" s="7"/>
      <c r="H322" s="7"/>
      <c r="I322" s="7"/>
      <c r="J322" s="7"/>
    </row>
    <row r="323" spans="2:10" x14ac:dyDescent="0.15">
      <c r="B323"/>
      <c r="C323"/>
      <c r="D323"/>
      <c r="E323"/>
      <c r="F323" s="7"/>
      <c r="G323" s="7"/>
      <c r="H323" s="7"/>
      <c r="I323" s="7"/>
      <c r="J323" s="7"/>
    </row>
    <row r="324" spans="2:10" x14ac:dyDescent="0.15">
      <c r="B324"/>
      <c r="C324"/>
      <c r="D324"/>
      <c r="E324"/>
      <c r="F324" s="7"/>
      <c r="G324" s="7"/>
      <c r="H324" s="7"/>
      <c r="I324" s="7"/>
      <c r="J324" s="7"/>
    </row>
    <row r="325" spans="2:10" x14ac:dyDescent="0.15">
      <c r="B325"/>
      <c r="C325"/>
      <c r="D325"/>
      <c r="E325"/>
      <c r="F325" s="7"/>
      <c r="G325" s="7"/>
      <c r="H325" s="7"/>
      <c r="I325" s="7"/>
      <c r="J325" s="7"/>
    </row>
    <row r="326" spans="2:10" x14ac:dyDescent="0.15">
      <c r="B326"/>
      <c r="C326"/>
      <c r="D326"/>
      <c r="E326"/>
      <c r="F326" s="7"/>
      <c r="G326" s="7"/>
      <c r="H326" s="7"/>
      <c r="I326" s="7"/>
      <c r="J326" s="7"/>
    </row>
    <row r="327" spans="2:10" x14ac:dyDescent="0.15">
      <c r="B327"/>
      <c r="C327"/>
      <c r="D327"/>
      <c r="E327"/>
      <c r="F327" s="7"/>
      <c r="G327" s="7"/>
      <c r="H327" s="7"/>
      <c r="I327" s="7"/>
      <c r="J327" s="7"/>
    </row>
    <row r="328" spans="2:10" x14ac:dyDescent="0.15">
      <c r="B328"/>
      <c r="C328"/>
      <c r="D328"/>
      <c r="E328"/>
      <c r="F328" s="7"/>
      <c r="G328" s="7"/>
      <c r="H328" s="7"/>
      <c r="I328" s="7"/>
      <c r="J328" s="7"/>
    </row>
    <row r="329" spans="2:10" x14ac:dyDescent="0.15">
      <c r="B329"/>
      <c r="C329"/>
      <c r="D329"/>
      <c r="E329"/>
      <c r="F329" s="7"/>
      <c r="G329" s="7"/>
      <c r="H329" s="7"/>
      <c r="I329" s="7"/>
      <c r="J329" s="7"/>
    </row>
    <row r="330" spans="2:10" x14ac:dyDescent="0.15">
      <c r="B330"/>
      <c r="C330"/>
      <c r="D330"/>
      <c r="E330"/>
      <c r="F330" s="7"/>
      <c r="G330" s="7"/>
      <c r="H330" s="7"/>
      <c r="I330" s="7"/>
      <c r="J330" s="7"/>
    </row>
    <row r="331" spans="2:10" x14ac:dyDescent="0.15">
      <c r="B331"/>
      <c r="C331"/>
      <c r="D331"/>
      <c r="E331"/>
      <c r="F331" s="7"/>
      <c r="G331" s="7"/>
      <c r="H331" s="7"/>
      <c r="I331" s="7"/>
      <c r="J331" s="7"/>
    </row>
    <row r="332" spans="2:10" x14ac:dyDescent="0.15">
      <c r="B332"/>
      <c r="C332"/>
      <c r="D332"/>
      <c r="E332"/>
      <c r="F332" s="7"/>
      <c r="G332" s="7"/>
      <c r="H332" s="7"/>
      <c r="I332" s="7"/>
      <c r="J332" s="7"/>
    </row>
    <row r="333" spans="2:10" x14ac:dyDescent="0.15">
      <c r="B333"/>
      <c r="C333"/>
      <c r="D333"/>
      <c r="E333"/>
      <c r="F333" s="7"/>
      <c r="G333" s="7"/>
      <c r="H333" s="7"/>
      <c r="I333" s="7"/>
      <c r="J333" s="7"/>
    </row>
    <row r="334" spans="2:10" x14ac:dyDescent="0.15">
      <c r="B334"/>
      <c r="C334"/>
      <c r="D334"/>
      <c r="E334"/>
      <c r="F334" s="7"/>
      <c r="G334" s="7"/>
      <c r="H334" s="7"/>
      <c r="I334" s="7"/>
      <c r="J334" s="7"/>
    </row>
    <row r="335" spans="2:10" x14ac:dyDescent="0.15">
      <c r="B335"/>
      <c r="C335"/>
      <c r="D335"/>
      <c r="E335"/>
      <c r="F335" s="7"/>
      <c r="G335" s="7"/>
      <c r="H335" s="7"/>
      <c r="I335" s="7"/>
      <c r="J335" s="7"/>
    </row>
    <row r="336" spans="2:10" x14ac:dyDescent="0.15">
      <c r="B336"/>
      <c r="C336"/>
      <c r="D336"/>
      <c r="E336"/>
      <c r="F336" s="7"/>
      <c r="G336" s="7"/>
      <c r="H336" s="7"/>
      <c r="I336" s="7"/>
      <c r="J336" s="7"/>
    </row>
    <row r="337" spans="2:10" x14ac:dyDescent="0.15">
      <c r="B337"/>
      <c r="C337"/>
      <c r="D337"/>
      <c r="E337"/>
      <c r="F337" s="7"/>
      <c r="G337" s="7"/>
      <c r="H337" s="7"/>
      <c r="I337" s="7"/>
      <c r="J337" s="7"/>
    </row>
    <row r="338" spans="2:10" x14ac:dyDescent="0.15">
      <c r="B338"/>
      <c r="C338"/>
      <c r="D338"/>
      <c r="E338"/>
      <c r="F338" s="7"/>
      <c r="G338" s="7"/>
      <c r="H338" s="7"/>
      <c r="I338" s="7"/>
      <c r="J338" s="7"/>
    </row>
    <row r="339" spans="2:10" x14ac:dyDescent="0.15">
      <c r="B339"/>
      <c r="C339"/>
      <c r="D339"/>
      <c r="E339"/>
      <c r="F339" s="7"/>
      <c r="G339" s="7"/>
      <c r="H339" s="7"/>
      <c r="I339" s="7"/>
      <c r="J339" s="7"/>
    </row>
    <row r="340" spans="2:10" x14ac:dyDescent="0.15">
      <c r="B340"/>
      <c r="C340"/>
      <c r="D340"/>
      <c r="E340"/>
      <c r="F340" s="7"/>
      <c r="G340" s="7"/>
      <c r="H340" s="7"/>
      <c r="I340" s="7"/>
      <c r="J340" s="7"/>
    </row>
    <row r="341" spans="2:10" x14ac:dyDescent="0.15">
      <c r="B341"/>
      <c r="C341"/>
      <c r="D341"/>
      <c r="E341"/>
      <c r="F341" s="7"/>
      <c r="G341" s="7"/>
      <c r="H341" s="7"/>
      <c r="I341" s="7"/>
      <c r="J341" s="7"/>
    </row>
    <row r="342" spans="2:10" x14ac:dyDescent="0.15">
      <c r="B342"/>
      <c r="C342"/>
      <c r="D342"/>
      <c r="E342"/>
      <c r="F342" s="7"/>
      <c r="G342" s="7"/>
      <c r="H342" s="7"/>
      <c r="I342" s="7"/>
      <c r="J342" s="7"/>
    </row>
    <row r="343" spans="2:10" x14ac:dyDescent="0.15">
      <c r="B343"/>
      <c r="C343"/>
      <c r="D343"/>
      <c r="E343"/>
      <c r="F343" s="7"/>
      <c r="G343" s="7"/>
      <c r="H343" s="7"/>
      <c r="I343" s="7"/>
      <c r="J343" s="7"/>
    </row>
    <row r="344" spans="2:10" x14ac:dyDescent="0.15">
      <c r="B344"/>
      <c r="C344"/>
      <c r="D344"/>
      <c r="E344"/>
      <c r="F344" s="7"/>
      <c r="G344" s="7"/>
      <c r="H344" s="7"/>
      <c r="I344" s="7"/>
      <c r="J344" s="7"/>
    </row>
    <row r="345" spans="2:10" x14ac:dyDescent="0.15">
      <c r="B345"/>
      <c r="C345"/>
      <c r="D345"/>
      <c r="E345"/>
      <c r="F345" s="7"/>
      <c r="G345" s="7"/>
      <c r="H345" s="7"/>
      <c r="I345" s="7"/>
      <c r="J345" s="7"/>
    </row>
    <row r="346" spans="2:10" x14ac:dyDescent="0.15">
      <c r="B346"/>
      <c r="C346"/>
      <c r="D346"/>
      <c r="E346"/>
      <c r="F346" s="7"/>
      <c r="G346" s="7"/>
      <c r="H346" s="7"/>
      <c r="I346" s="7"/>
      <c r="J346" s="7"/>
    </row>
    <row r="347" spans="2:10" x14ac:dyDescent="0.15">
      <c r="B347"/>
      <c r="C347"/>
      <c r="D347"/>
      <c r="E347"/>
      <c r="F347" s="7"/>
      <c r="G347" s="7"/>
      <c r="H347" s="7"/>
      <c r="I347" s="7"/>
      <c r="J347" s="7"/>
    </row>
    <row r="348" spans="2:10" x14ac:dyDescent="0.15">
      <c r="B348"/>
      <c r="C348"/>
      <c r="D348"/>
      <c r="E348"/>
      <c r="F348" s="7"/>
      <c r="G348" s="7"/>
      <c r="H348" s="7"/>
      <c r="I348" s="7"/>
      <c r="J348" s="7"/>
    </row>
    <row r="349" spans="2:10" x14ac:dyDescent="0.15">
      <c r="B349"/>
      <c r="C349"/>
      <c r="D349"/>
      <c r="E349"/>
      <c r="F349" s="7"/>
      <c r="G349" s="7"/>
      <c r="H349" s="7"/>
      <c r="I349" s="7"/>
      <c r="J349" s="7"/>
    </row>
    <row r="350" spans="2:10" x14ac:dyDescent="0.15">
      <c r="B350"/>
      <c r="C350"/>
      <c r="D350"/>
      <c r="E350"/>
      <c r="F350" s="7"/>
      <c r="G350" s="7"/>
      <c r="H350" s="7"/>
      <c r="I350" s="7"/>
      <c r="J350" s="7"/>
    </row>
    <row r="351" spans="2:10" x14ac:dyDescent="0.15">
      <c r="B351"/>
      <c r="C351"/>
      <c r="D351"/>
      <c r="E351"/>
      <c r="F351" s="7"/>
      <c r="G351" s="7"/>
      <c r="H351" s="7"/>
      <c r="I351" s="7"/>
      <c r="J351" s="7"/>
    </row>
    <row r="352" spans="2:10" x14ac:dyDescent="0.15">
      <c r="B352"/>
      <c r="C352"/>
      <c r="D352"/>
      <c r="E352"/>
      <c r="F352" s="7"/>
      <c r="G352" s="7"/>
      <c r="H352" s="7"/>
      <c r="I352" s="7"/>
      <c r="J352" s="7"/>
    </row>
    <row r="353" spans="2:10" x14ac:dyDescent="0.15">
      <c r="B353"/>
      <c r="C353"/>
      <c r="D353"/>
      <c r="E353"/>
      <c r="F353" s="7"/>
      <c r="G353" s="7"/>
      <c r="H353" s="7"/>
      <c r="I353" s="7"/>
      <c r="J353" s="7"/>
    </row>
    <row r="354" spans="2:10" x14ac:dyDescent="0.15">
      <c r="B354"/>
      <c r="C354"/>
      <c r="D354"/>
      <c r="E354"/>
      <c r="F354" s="7"/>
      <c r="G354" s="7"/>
      <c r="H354" s="7"/>
      <c r="I354" s="7"/>
      <c r="J354" s="7"/>
    </row>
    <row r="355" spans="2:10" x14ac:dyDescent="0.15">
      <c r="B355"/>
      <c r="C355"/>
      <c r="D355"/>
      <c r="E355"/>
      <c r="F355" s="7"/>
      <c r="G355" s="7"/>
      <c r="H355" s="7"/>
      <c r="I355" s="7"/>
      <c r="J355" s="7"/>
    </row>
    <row r="356" spans="2:10" x14ac:dyDescent="0.15">
      <c r="B356"/>
      <c r="C356"/>
      <c r="D356"/>
      <c r="E356"/>
      <c r="F356" s="7"/>
      <c r="G356" s="7"/>
      <c r="H356" s="7"/>
      <c r="I356" s="7"/>
      <c r="J356" s="7"/>
    </row>
    <row r="357" spans="2:10" x14ac:dyDescent="0.15">
      <c r="B357"/>
      <c r="C357"/>
      <c r="D357"/>
      <c r="E357"/>
      <c r="F357" s="7"/>
      <c r="G357" s="7"/>
      <c r="H357" s="7"/>
      <c r="I357" s="7"/>
      <c r="J357" s="7"/>
    </row>
    <row r="358" spans="2:10" x14ac:dyDescent="0.15">
      <c r="B358"/>
      <c r="C358"/>
      <c r="D358"/>
      <c r="E358"/>
      <c r="F358" s="7"/>
      <c r="G358" s="7"/>
      <c r="H358" s="7"/>
      <c r="I358" s="7"/>
      <c r="J358" s="7"/>
    </row>
    <row r="359" spans="2:10" x14ac:dyDescent="0.15">
      <c r="B359"/>
      <c r="C359"/>
      <c r="D359"/>
      <c r="E359"/>
      <c r="F359" s="7"/>
      <c r="G359" s="7"/>
      <c r="H359" s="7"/>
      <c r="I359" s="7"/>
      <c r="J359" s="7"/>
    </row>
    <row r="360" spans="2:10" x14ac:dyDescent="0.15">
      <c r="B360"/>
      <c r="C360"/>
      <c r="D360"/>
      <c r="E360"/>
      <c r="F360" s="7"/>
      <c r="G360" s="7"/>
      <c r="H360" s="7"/>
      <c r="I360" s="7"/>
      <c r="J360" s="7"/>
    </row>
    <row r="361" spans="2:10" x14ac:dyDescent="0.15">
      <c r="B361"/>
      <c r="C361"/>
      <c r="D361"/>
      <c r="E361"/>
      <c r="F361" s="7"/>
      <c r="G361" s="7"/>
      <c r="H361" s="7"/>
      <c r="I361" s="7"/>
      <c r="J361" s="7"/>
    </row>
    <row r="362" spans="2:10" x14ac:dyDescent="0.15">
      <c r="B362"/>
      <c r="C362"/>
      <c r="D362"/>
      <c r="E362"/>
      <c r="F362" s="7"/>
      <c r="G362" s="7"/>
      <c r="H362" s="7"/>
      <c r="I362" s="7"/>
      <c r="J362" s="7"/>
    </row>
    <row r="363" spans="2:10" x14ac:dyDescent="0.15">
      <c r="B363"/>
      <c r="C363"/>
      <c r="D363"/>
      <c r="E363"/>
      <c r="F363" s="7"/>
      <c r="G363" s="7"/>
      <c r="H363" s="7"/>
      <c r="I363" s="7"/>
      <c r="J363" s="7"/>
    </row>
    <row r="364" spans="2:10" x14ac:dyDescent="0.15">
      <c r="B364"/>
      <c r="C364"/>
      <c r="D364"/>
      <c r="E364"/>
      <c r="F364" s="7"/>
      <c r="G364" s="7"/>
      <c r="H364" s="7"/>
      <c r="I364" s="7"/>
      <c r="J364" s="7"/>
    </row>
    <row r="365" spans="2:10" x14ac:dyDescent="0.15">
      <c r="B365"/>
      <c r="C365"/>
      <c r="D365"/>
      <c r="E365"/>
      <c r="F365" s="7"/>
      <c r="G365" s="7"/>
      <c r="H365" s="7"/>
      <c r="I365" s="7"/>
      <c r="J365" s="7"/>
    </row>
    <row r="366" spans="2:10" x14ac:dyDescent="0.15">
      <c r="B366"/>
      <c r="C366"/>
      <c r="D366"/>
      <c r="E366"/>
      <c r="F366" s="7"/>
      <c r="G366" s="7"/>
      <c r="H366" s="7"/>
      <c r="I366" s="7"/>
      <c r="J366" s="7"/>
    </row>
    <row r="367" spans="2:10" x14ac:dyDescent="0.15">
      <c r="B367"/>
      <c r="C367"/>
      <c r="D367"/>
      <c r="E367"/>
      <c r="F367" s="7"/>
      <c r="G367" s="7"/>
      <c r="H367" s="7"/>
      <c r="I367" s="7"/>
      <c r="J367" s="7"/>
    </row>
    <row r="368" spans="2:10" x14ac:dyDescent="0.15">
      <c r="B368"/>
      <c r="C368"/>
      <c r="D368"/>
      <c r="E368"/>
      <c r="F368" s="7"/>
      <c r="G368" s="7"/>
      <c r="H368" s="7"/>
      <c r="I368" s="7"/>
      <c r="J368" s="7"/>
    </row>
    <row r="369" spans="2:10" x14ac:dyDescent="0.15">
      <c r="B369"/>
      <c r="C369"/>
      <c r="D369"/>
      <c r="E369"/>
      <c r="F369" s="7"/>
      <c r="G369" s="7"/>
      <c r="H369" s="7"/>
      <c r="I369" s="7"/>
      <c r="J369" s="7"/>
    </row>
    <row r="370" spans="2:10" x14ac:dyDescent="0.15">
      <c r="B370"/>
      <c r="C370"/>
      <c r="D370"/>
      <c r="E370"/>
      <c r="F370" s="7"/>
      <c r="G370" s="7"/>
      <c r="H370" s="7"/>
      <c r="I370" s="7"/>
      <c r="J370" s="7"/>
    </row>
    <row r="371" spans="2:10" x14ac:dyDescent="0.15">
      <c r="B371"/>
      <c r="C371"/>
      <c r="D371"/>
      <c r="E371"/>
      <c r="F371" s="7"/>
      <c r="G371" s="7"/>
      <c r="H371" s="7"/>
      <c r="I371" s="7"/>
      <c r="J371" s="7"/>
    </row>
    <row r="372" spans="2:10" x14ac:dyDescent="0.15">
      <c r="B372"/>
      <c r="C372"/>
      <c r="D372"/>
      <c r="E372"/>
      <c r="F372" s="7"/>
      <c r="G372" s="7"/>
      <c r="H372" s="7"/>
      <c r="I372" s="7"/>
      <c r="J372" s="7"/>
    </row>
    <row r="373" spans="2:10" x14ac:dyDescent="0.15">
      <c r="B373"/>
      <c r="C373"/>
      <c r="D373"/>
      <c r="E373"/>
      <c r="F373" s="7"/>
      <c r="G373" s="7"/>
      <c r="H373" s="7"/>
      <c r="I373" s="7"/>
      <c r="J373" s="7"/>
    </row>
    <row r="374" spans="2:10" x14ac:dyDescent="0.15">
      <c r="B374"/>
      <c r="C374"/>
      <c r="D374"/>
      <c r="E374"/>
      <c r="F374" s="7"/>
      <c r="G374" s="7"/>
      <c r="H374" s="7"/>
      <c r="I374" s="7"/>
      <c r="J374" s="7"/>
    </row>
    <row r="375" spans="2:10" x14ac:dyDescent="0.15">
      <c r="B375"/>
      <c r="C375"/>
      <c r="D375"/>
      <c r="E375"/>
      <c r="F375" s="7"/>
      <c r="G375" s="7"/>
      <c r="H375" s="7"/>
      <c r="I375" s="7"/>
      <c r="J375" s="7"/>
    </row>
    <row r="376" spans="2:10" x14ac:dyDescent="0.15">
      <c r="B376"/>
      <c r="C376"/>
      <c r="D376"/>
      <c r="E376"/>
      <c r="F376" s="7"/>
      <c r="G376" s="7"/>
      <c r="H376" s="7"/>
      <c r="I376" s="7"/>
      <c r="J376" s="7"/>
    </row>
    <row r="377" spans="2:10" x14ac:dyDescent="0.15">
      <c r="B377"/>
      <c r="C377"/>
      <c r="D377"/>
      <c r="E377"/>
      <c r="F377" s="7"/>
      <c r="G377" s="7"/>
      <c r="H377" s="7"/>
      <c r="I377" s="7"/>
      <c r="J377" s="7"/>
    </row>
    <row r="378" spans="2:10" x14ac:dyDescent="0.15">
      <c r="B378"/>
      <c r="C378"/>
      <c r="D378"/>
      <c r="E378"/>
      <c r="F378" s="7"/>
      <c r="G378" s="7"/>
      <c r="H378" s="7"/>
      <c r="I378" s="7"/>
      <c r="J378" s="7"/>
    </row>
    <row r="379" spans="2:10" x14ac:dyDescent="0.15">
      <c r="B379"/>
      <c r="C379"/>
      <c r="D379"/>
      <c r="E379"/>
      <c r="F379" s="7"/>
      <c r="G379" s="7"/>
      <c r="H379" s="7"/>
      <c r="I379" s="7"/>
      <c r="J379" s="7"/>
    </row>
    <row r="380" spans="2:10" x14ac:dyDescent="0.15">
      <c r="B380"/>
      <c r="C380"/>
      <c r="D380"/>
      <c r="E380"/>
      <c r="F380" s="7"/>
      <c r="G380" s="7"/>
      <c r="H380" s="7"/>
      <c r="I380" s="7"/>
      <c r="J380" s="7"/>
    </row>
    <row r="381" spans="2:10" x14ac:dyDescent="0.15">
      <c r="B381"/>
      <c r="C381"/>
      <c r="D381"/>
      <c r="E381"/>
      <c r="F381" s="7"/>
      <c r="G381" s="7"/>
      <c r="H381" s="7"/>
      <c r="I381" s="7"/>
      <c r="J381" s="7"/>
    </row>
    <row r="382" spans="2:10" x14ac:dyDescent="0.15">
      <c r="B382"/>
      <c r="C382"/>
      <c r="D382"/>
      <c r="E382"/>
      <c r="F382" s="7"/>
      <c r="G382" s="7"/>
      <c r="H382" s="7"/>
      <c r="I382" s="7"/>
      <c r="J382" s="7"/>
    </row>
    <row r="383" spans="2:10" x14ac:dyDescent="0.15">
      <c r="B383"/>
      <c r="C383"/>
      <c r="D383"/>
      <c r="E383"/>
      <c r="F383" s="7"/>
      <c r="G383" s="7"/>
      <c r="H383" s="7"/>
      <c r="I383" s="7"/>
      <c r="J383" s="7"/>
    </row>
    <row r="384" spans="2:10" x14ac:dyDescent="0.15">
      <c r="B384"/>
      <c r="C384"/>
      <c r="D384"/>
      <c r="E384"/>
      <c r="F384" s="7"/>
      <c r="G384" s="7"/>
      <c r="H384" s="7"/>
      <c r="I384" s="7"/>
      <c r="J384" s="7"/>
    </row>
    <row r="385" spans="2:10" x14ac:dyDescent="0.15">
      <c r="B385"/>
      <c r="C385"/>
      <c r="D385"/>
      <c r="E385"/>
      <c r="F385" s="7"/>
      <c r="G385" s="7"/>
      <c r="H385" s="7"/>
      <c r="I385" s="7"/>
      <c r="J385" s="7"/>
    </row>
    <row r="386" spans="2:10" x14ac:dyDescent="0.15">
      <c r="B386"/>
      <c r="C386"/>
      <c r="D386"/>
      <c r="E386"/>
      <c r="F386" s="7"/>
      <c r="G386" s="7"/>
      <c r="H386" s="7"/>
      <c r="I386" s="7"/>
      <c r="J386" s="7"/>
    </row>
    <row r="387" spans="2:10" x14ac:dyDescent="0.15">
      <c r="B387"/>
      <c r="C387"/>
      <c r="D387"/>
      <c r="E387"/>
      <c r="F387" s="7"/>
      <c r="G387" s="7"/>
      <c r="H387" s="7"/>
      <c r="I387" s="7"/>
      <c r="J387" s="7"/>
    </row>
    <row r="388" spans="2:10" x14ac:dyDescent="0.15">
      <c r="B388"/>
      <c r="C388"/>
      <c r="D388"/>
      <c r="E388"/>
      <c r="F388" s="7"/>
      <c r="G388" s="7"/>
      <c r="H388" s="7"/>
      <c r="I388" s="7"/>
      <c r="J388" s="7"/>
    </row>
    <row r="389" spans="2:10" x14ac:dyDescent="0.15">
      <c r="B389"/>
      <c r="C389"/>
      <c r="D389"/>
      <c r="E389"/>
      <c r="F389" s="7"/>
      <c r="G389" s="7"/>
      <c r="H389" s="7"/>
      <c r="I389" s="7"/>
      <c r="J389" s="7"/>
    </row>
    <row r="390" spans="2:10" x14ac:dyDescent="0.15">
      <c r="B390"/>
      <c r="C390"/>
      <c r="D390"/>
      <c r="E390"/>
      <c r="F390" s="7"/>
      <c r="G390" s="7"/>
      <c r="H390" s="7"/>
      <c r="I390" s="7"/>
      <c r="J390" s="7"/>
    </row>
    <row r="391" spans="2:10" x14ac:dyDescent="0.15">
      <c r="B391"/>
      <c r="C391"/>
      <c r="D391"/>
      <c r="E391"/>
      <c r="F391" s="7"/>
      <c r="G391" s="7"/>
      <c r="H391" s="7"/>
      <c r="I391" s="7"/>
      <c r="J391" s="7"/>
    </row>
    <row r="392" spans="2:10" x14ac:dyDescent="0.15">
      <c r="B392"/>
      <c r="C392"/>
      <c r="D392"/>
      <c r="E392"/>
      <c r="F392" s="7"/>
      <c r="G392" s="7"/>
      <c r="H392" s="7"/>
      <c r="I392" s="7"/>
      <c r="J392" s="7"/>
    </row>
    <row r="393" spans="2:10" x14ac:dyDescent="0.15">
      <c r="B393"/>
      <c r="C393"/>
      <c r="D393"/>
      <c r="E393"/>
      <c r="F393" s="7"/>
      <c r="G393" s="7"/>
      <c r="H393" s="7"/>
      <c r="I393" s="7"/>
      <c r="J393" s="7"/>
    </row>
    <row r="394" spans="2:10" x14ac:dyDescent="0.15">
      <c r="B394"/>
      <c r="C394"/>
      <c r="D394"/>
      <c r="E394"/>
      <c r="F394" s="7"/>
      <c r="G394" s="7"/>
      <c r="H394" s="7"/>
      <c r="I394" s="7"/>
      <c r="J394" s="7"/>
    </row>
    <row r="395" spans="2:10" x14ac:dyDescent="0.15">
      <c r="B395"/>
      <c r="C395"/>
      <c r="D395"/>
      <c r="E395"/>
      <c r="F395" s="7"/>
      <c r="G395" s="7"/>
      <c r="H395" s="7"/>
      <c r="I395" s="7"/>
      <c r="J395" s="7"/>
    </row>
    <row r="396" spans="2:10" x14ac:dyDescent="0.15">
      <c r="B396"/>
      <c r="C396"/>
      <c r="D396"/>
      <c r="E396"/>
      <c r="F396" s="7"/>
      <c r="G396" s="7"/>
      <c r="H396" s="7"/>
      <c r="I396" s="7"/>
      <c r="J396" s="7"/>
    </row>
    <row r="397" spans="2:10" x14ac:dyDescent="0.15">
      <c r="B397"/>
      <c r="C397"/>
      <c r="D397"/>
      <c r="E397"/>
      <c r="F397" s="7"/>
      <c r="G397" s="7"/>
      <c r="H397" s="7"/>
      <c r="I397" s="7"/>
      <c r="J397" s="7"/>
    </row>
    <row r="398" spans="2:10" x14ac:dyDescent="0.15">
      <c r="B398"/>
      <c r="C398"/>
      <c r="D398"/>
      <c r="E398"/>
      <c r="F398" s="7"/>
      <c r="G398" s="7"/>
      <c r="H398" s="7"/>
      <c r="I398" s="7"/>
      <c r="J398" s="7"/>
    </row>
    <row r="399" spans="2:10" x14ac:dyDescent="0.15">
      <c r="B399"/>
      <c r="C399"/>
      <c r="D399"/>
      <c r="E399"/>
      <c r="F399" s="7"/>
      <c r="G399" s="7"/>
      <c r="H399" s="7"/>
      <c r="I399" s="7"/>
      <c r="J399" s="7"/>
    </row>
    <row r="400" spans="2:10" x14ac:dyDescent="0.15">
      <c r="B400"/>
      <c r="C400"/>
      <c r="D400"/>
      <c r="E400"/>
      <c r="F400" s="7"/>
      <c r="G400" s="7"/>
      <c r="H400" s="7"/>
      <c r="I400" s="7"/>
      <c r="J400" s="7"/>
    </row>
    <row r="401" spans="2:10" x14ac:dyDescent="0.15">
      <c r="B401"/>
      <c r="C401"/>
      <c r="D401"/>
      <c r="E401"/>
      <c r="F401" s="7"/>
      <c r="G401" s="7"/>
      <c r="H401" s="7"/>
      <c r="I401" s="7"/>
      <c r="J401" s="7"/>
    </row>
    <row r="402" spans="2:10" x14ac:dyDescent="0.15">
      <c r="B402"/>
      <c r="C402"/>
      <c r="D402"/>
      <c r="E402"/>
      <c r="F402" s="7"/>
      <c r="G402" s="7"/>
      <c r="H402" s="7"/>
      <c r="I402" s="7"/>
      <c r="J402" s="7"/>
    </row>
    <row r="403" spans="2:10" x14ac:dyDescent="0.15">
      <c r="B403"/>
      <c r="C403"/>
      <c r="D403"/>
      <c r="E403"/>
      <c r="F403" s="7"/>
      <c r="G403" s="7"/>
      <c r="H403" s="7"/>
      <c r="I403" s="7"/>
      <c r="J403" s="7"/>
    </row>
    <row r="404" spans="2:10" x14ac:dyDescent="0.15">
      <c r="B404"/>
      <c r="C404"/>
      <c r="D404"/>
      <c r="E404"/>
      <c r="F404" s="7"/>
      <c r="G404" s="7"/>
      <c r="H404" s="7"/>
      <c r="I404" s="7"/>
      <c r="J404" s="7"/>
    </row>
    <row r="405" spans="2:10" x14ac:dyDescent="0.15">
      <c r="B405"/>
      <c r="C405"/>
      <c r="D405"/>
      <c r="E405"/>
      <c r="F405" s="7"/>
      <c r="G405" s="7"/>
      <c r="H405" s="7"/>
      <c r="I405" s="7"/>
      <c r="J405" s="7"/>
    </row>
    <row r="406" spans="2:10" x14ac:dyDescent="0.15">
      <c r="B406"/>
      <c r="C406"/>
      <c r="D406"/>
      <c r="E406"/>
      <c r="F406" s="7"/>
      <c r="G406" s="7"/>
      <c r="H406" s="7"/>
      <c r="I406" s="7"/>
      <c r="J406" s="7"/>
    </row>
    <row r="407" spans="2:10" x14ac:dyDescent="0.15">
      <c r="B407"/>
      <c r="C407"/>
      <c r="D407"/>
      <c r="E407"/>
      <c r="F407" s="7"/>
      <c r="G407" s="7"/>
      <c r="H407" s="7"/>
      <c r="I407" s="7"/>
      <c r="J407" s="7"/>
    </row>
    <row r="408" spans="2:10" x14ac:dyDescent="0.15">
      <c r="B408"/>
      <c r="C408"/>
      <c r="D408"/>
      <c r="E408"/>
      <c r="F408" s="7"/>
      <c r="G408" s="7"/>
      <c r="H408" s="7"/>
      <c r="I408" s="7"/>
      <c r="J408" s="7"/>
    </row>
    <row r="409" spans="2:10" x14ac:dyDescent="0.15">
      <c r="B409"/>
      <c r="C409"/>
      <c r="D409"/>
      <c r="E409"/>
      <c r="F409" s="7"/>
      <c r="G409" s="7"/>
      <c r="H409" s="7"/>
      <c r="I409" s="7"/>
      <c r="J409" s="7"/>
    </row>
    <row r="410" spans="2:10" x14ac:dyDescent="0.15">
      <c r="B410"/>
      <c r="C410"/>
      <c r="D410"/>
      <c r="E410"/>
      <c r="F410" s="7"/>
      <c r="G410" s="7"/>
      <c r="H410" s="7"/>
      <c r="I410" s="7"/>
      <c r="J410" s="7"/>
    </row>
    <row r="411" spans="2:10" x14ac:dyDescent="0.15">
      <c r="B411"/>
      <c r="C411"/>
      <c r="D411"/>
      <c r="E411"/>
      <c r="F411" s="7"/>
      <c r="G411" s="7"/>
      <c r="H411" s="7"/>
      <c r="I411" s="7"/>
      <c r="J411" s="7"/>
    </row>
    <row r="412" spans="2:10" x14ac:dyDescent="0.15">
      <c r="B412"/>
      <c r="C412"/>
      <c r="D412"/>
      <c r="E412"/>
      <c r="F412" s="7"/>
      <c r="G412" s="7"/>
      <c r="H412" s="7"/>
      <c r="I412" s="7"/>
      <c r="J412" s="7"/>
    </row>
    <row r="413" spans="2:10" x14ac:dyDescent="0.15">
      <c r="B413"/>
      <c r="C413"/>
      <c r="D413"/>
      <c r="E413"/>
      <c r="F413" s="7"/>
      <c r="G413" s="7"/>
      <c r="H413" s="7"/>
      <c r="I413" s="7"/>
      <c r="J413" s="7"/>
    </row>
    <row r="414" spans="2:10" x14ac:dyDescent="0.15">
      <c r="B414"/>
      <c r="C414"/>
      <c r="D414"/>
      <c r="E414"/>
      <c r="F414" s="7"/>
      <c r="G414" s="7"/>
      <c r="H414" s="7"/>
      <c r="I414" s="7"/>
      <c r="J414" s="7"/>
    </row>
    <row r="415" spans="2:10" x14ac:dyDescent="0.15">
      <c r="B415"/>
      <c r="C415"/>
      <c r="D415"/>
      <c r="E415"/>
      <c r="F415" s="7"/>
      <c r="G415" s="7"/>
      <c r="H415" s="7"/>
      <c r="I415" s="7"/>
      <c r="J415" s="7"/>
    </row>
    <row r="416" spans="2:10" x14ac:dyDescent="0.15">
      <c r="B416"/>
      <c r="C416"/>
      <c r="D416"/>
      <c r="E416"/>
      <c r="F416" s="7"/>
      <c r="G416" s="7"/>
      <c r="H416" s="7"/>
      <c r="I416" s="7"/>
      <c r="J416" s="7"/>
    </row>
    <row r="417" spans="2:10" x14ac:dyDescent="0.15">
      <c r="B417"/>
      <c r="C417"/>
      <c r="D417"/>
      <c r="E417"/>
      <c r="F417" s="7"/>
      <c r="G417" s="7"/>
      <c r="H417" s="7"/>
      <c r="I417" s="7"/>
      <c r="J417" s="7"/>
    </row>
    <row r="418" spans="2:10" x14ac:dyDescent="0.15">
      <c r="B418"/>
      <c r="C418"/>
      <c r="D418"/>
      <c r="E418"/>
      <c r="F418" s="7"/>
      <c r="G418" s="7"/>
      <c r="H418" s="7"/>
      <c r="I418" s="7"/>
      <c r="J418" s="7"/>
    </row>
    <row r="419" spans="2:10" x14ac:dyDescent="0.15">
      <c r="B419"/>
      <c r="C419"/>
      <c r="D419"/>
      <c r="E419"/>
      <c r="F419" s="7"/>
      <c r="G419" s="7"/>
      <c r="H419" s="7"/>
      <c r="I419" s="7"/>
      <c r="J419" s="7"/>
    </row>
    <row r="420" spans="2:10" x14ac:dyDescent="0.15">
      <c r="B420"/>
      <c r="C420"/>
      <c r="D420"/>
      <c r="E420"/>
      <c r="F420" s="7"/>
      <c r="G420" s="7"/>
      <c r="H420" s="7"/>
      <c r="I420" s="7"/>
      <c r="J420" s="7"/>
    </row>
    <row r="421" spans="2:10" x14ac:dyDescent="0.15">
      <c r="B421"/>
      <c r="C421"/>
      <c r="D421"/>
      <c r="E421"/>
      <c r="F421" s="7"/>
      <c r="G421" s="7"/>
      <c r="H421" s="7"/>
      <c r="I421" s="7"/>
      <c r="J421" s="7"/>
    </row>
    <row r="422" spans="2:10" x14ac:dyDescent="0.15">
      <c r="B422"/>
      <c r="C422"/>
      <c r="D422"/>
      <c r="E422"/>
      <c r="F422" s="7"/>
      <c r="G422" s="7"/>
      <c r="H422" s="7"/>
      <c r="I422" s="7"/>
      <c r="J422" s="7"/>
    </row>
    <row r="423" spans="2:10" x14ac:dyDescent="0.15">
      <c r="B423"/>
      <c r="C423"/>
      <c r="D423"/>
      <c r="E423"/>
      <c r="F423" s="7"/>
      <c r="G423" s="7"/>
      <c r="H423" s="7"/>
      <c r="I423" s="7"/>
      <c r="J423" s="7"/>
    </row>
    <row r="424" spans="2:10" x14ac:dyDescent="0.15">
      <c r="B424"/>
      <c r="C424"/>
      <c r="D424"/>
      <c r="E424"/>
      <c r="F424" s="7"/>
      <c r="G424" s="7"/>
      <c r="H424" s="7"/>
      <c r="I424" s="7"/>
      <c r="J424" s="7"/>
    </row>
    <row r="425" spans="2:10" x14ac:dyDescent="0.15">
      <c r="B425"/>
      <c r="C425"/>
      <c r="D425"/>
      <c r="E425"/>
      <c r="F425" s="7"/>
      <c r="G425" s="7"/>
      <c r="H425" s="7"/>
      <c r="I425" s="7"/>
      <c r="J425" s="7"/>
    </row>
    <row r="426" spans="2:10" x14ac:dyDescent="0.15">
      <c r="B426"/>
      <c r="C426"/>
      <c r="D426"/>
      <c r="E426"/>
      <c r="F426" s="7"/>
      <c r="G426" s="7"/>
      <c r="H426" s="7"/>
      <c r="I426" s="7"/>
      <c r="J426" s="7"/>
    </row>
    <row r="427" spans="2:10" x14ac:dyDescent="0.15">
      <c r="B427"/>
      <c r="C427"/>
      <c r="D427"/>
      <c r="E427"/>
      <c r="F427" s="7"/>
      <c r="G427" s="7"/>
      <c r="H427" s="7"/>
      <c r="I427" s="7"/>
      <c r="J427" s="7"/>
    </row>
    <row r="428" spans="2:10" x14ac:dyDescent="0.15">
      <c r="B428"/>
      <c r="C428"/>
      <c r="D428"/>
      <c r="E428"/>
      <c r="F428" s="7"/>
      <c r="G428" s="7"/>
      <c r="H428" s="7"/>
      <c r="I428" s="7"/>
      <c r="J428" s="7"/>
    </row>
    <row r="429" spans="2:10" x14ac:dyDescent="0.15">
      <c r="B429"/>
      <c r="C429"/>
      <c r="D429"/>
      <c r="E429"/>
      <c r="F429" s="7"/>
      <c r="G429" s="7"/>
      <c r="H429" s="7"/>
      <c r="I429" s="7"/>
      <c r="J429" s="7"/>
    </row>
    <row r="430" spans="2:10" x14ac:dyDescent="0.15">
      <c r="B430"/>
      <c r="C430"/>
      <c r="D430"/>
      <c r="E430"/>
      <c r="F430" s="7"/>
      <c r="G430" s="7"/>
      <c r="H430" s="7"/>
      <c r="I430" s="7"/>
      <c r="J430" s="7"/>
    </row>
    <row r="431" spans="2:10" x14ac:dyDescent="0.15">
      <c r="B431"/>
      <c r="C431"/>
      <c r="D431"/>
      <c r="E431"/>
      <c r="F431" s="7"/>
      <c r="G431" s="7"/>
      <c r="H431" s="7"/>
      <c r="I431" s="7"/>
      <c r="J431" s="7"/>
    </row>
    <row r="432" spans="2:10" x14ac:dyDescent="0.15">
      <c r="B432"/>
      <c r="C432"/>
      <c r="D432"/>
      <c r="E432"/>
      <c r="F432" s="7"/>
      <c r="G432" s="7"/>
      <c r="H432" s="7"/>
      <c r="I432" s="7"/>
      <c r="J432" s="7"/>
    </row>
    <row r="433" spans="2:10" x14ac:dyDescent="0.15">
      <c r="B433"/>
      <c r="C433"/>
      <c r="D433"/>
      <c r="E433"/>
      <c r="F433" s="7"/>
      <c r="G433" s="7"/>
      <c r="H433" s="7"/>
      <c r="I433" s="7"/>
      <c r="J433" s="7"/>
    </row>
    <row r="434" spans="2:10" x14ac:dyDescent="0.15">
      <c r="B434"/>
      <c r="C434"/>
      <c r="D434"/>
      <c r="E434"/>
      <c r="F434" s="7"/>
      <c r="G434" s="7"/>
      <c r="H434" s="7"/>
      <c r="I434" s="7"/>
      <c r="J434" s="7"/>
    </row>
    <row r="435" spans="2:10" x14ac:dyDescent="0.15">
      <c r="B435"/>
      <c r="C435"/>
      <c r="D435"/>
      <c r="E435"/>
      <c r="F435" s="7"/>
      <c r="G435" s="7"/>
      <c r="H435" s="7"/>
      <c r="I435" s="7"/>
      <c r="J435" s="7"/>
    </row>
    <row r="436" spans="2:10" x14ac:dyDescent="0.15">
      <c r="B436"/>
      <c r="C436"/>
      <c r="D436"/>
      <c r="E436"/>
      <c r="F436" s="7"/>
      <c r="G436" s="7"/>
      <c r="H436" s="7"/>
      <c r="I436" s="7"/>
      <c r="J436" s="7"/>
    </row>
    <row r="437" spans="2:10" x14ac:dyDescent="0.15">
      <c r="B437"/>
      <c r="C437"/>
      <c r="D437"/>
      <c r="E437"/>
      <c r="F437" s="7"/>
      <c r="G437" s="7"/>
      <c r="H437" s="7"/>
      <c r="I437" s="7"/>
      <c r="J437" s="7"/>
    </row>
    <row r="438" spans="2:10" x14ac:dyDescent="0.15">
      <c r="B438"/>
      <c r="C438"/>
      <c r="D438"/>
      <c r="E438"/>
      <c r="F438" s="7"/>
      <c r="G438" s="7"/>
      <c r="H438" s="7"/>
      <c r="I438" s="7"/>
      <c r="J438" s="7"/>
    </row>
    <row r="439" spans="2:10" x14ac:dyDescent="0.15">
      <c r="B439"/>
      <c r="C439"/>
      <c r="D439"/>
      <c r="E439"/>
      <c r="F439" s="7"/>
      <c r="G439" s="7"/>
      <c r="H439" s="7"/>
      <c r="I439" s="7"/>
      <c r="J439" s="7"/>
    </row>
    <row r="440" spans="2:10" x14ac:dyDescent="0.15">
      <c r="B440"/>
      <c r="C440"/>
      <c r="D440"/>
      <c r="E440"/>
      <c r="F440" s="7"/>
      <c r="G440" s="7"/>
      <c r="H440" s="7"/>
      <c r="I440" s="7"/>
      <c r="J440" s="7"/>
    </row>
    <row r="441" spans="2:10" x14ac:dyDescent="0.15">
      <c r="B441"/>
      <c r="C441"/>
      <c r="D441"/>
      <c r="E441"/>
      <c r="F441" s="7"/>
      <c r="G441" s="7"/>
      <c r="H441" s="7"/>
      <c r="I441" s="7"/>
      <c r="J441" s="7"/>
    </row>
    <row r="442" spans="2:10" x14ac:dyDescent="0.15">
      <c r="B442"/>
      <c r="C442"/>
      <c r="D442"/>
      <c r="E442"/>
      <c r="F442" s="7"/>
      <c r="G442" s="7"/>
      <c r="H442" s="7"/>
      <c r="I442" s="7"/>
      <c r="J442" s="7"/>
    </row>
    <row r="443" spans="2:10" x14ac:dyDescent="0.15">
      <c r="B443"/>
      <c r="C443"/>
      <c r="D443"/>
      <c r="E443"/>
      <c r="F443" s="7"/>
      <c r="G443" s="7"/>
      <c r="H443" s="7"/>
      <c r="I443" s="7"/>
      <c r="J443" s="7"/>
    </row>
    <row r="444" spans="2:10" x14ac:dyDescent="0.15">
      <c r="B444"/>
      <c r="C444"/>
      <c r="D444"/>
      <c r="E444"/>
      <c r="F444" s="7"/>
      <c r="G444" s="7"/>
      <c r="H444" s="7"/>
      <c r="I444" s="7"/>
      <c r="J444" s="7"/>
    </row>
    <row r="445" spans="2:10" x14ac:dyDescent="0.15">
      <c r="B445"/>
      <c r="C445"/>
      <c r="D445"/>
      <c r="E445"/>
      <c r="F445" s="7"/>
      <c r="G445" s="7"/>
      <c r="H445" s="7"/>
      <c r="I445" s="7"/>
      <c r="J445" s="7"/>
    </row>
    <row r="446" spans="2:10" x14ac:dyDescent="0.15">
      <c r="B446"/>
      <c r="C446"/>
      <c r="D446"/>
      <c r="E446"/>
      <c r="F446" s="7"/>
      <c r="G446" s="7"/>
      <c r="H446" s="7"/>
      <c r="I446" s="7"/>
      <c r="J446" s="7"/>
    </row>
    <row r="447" spans="2:10" x14ac:dyDescent="0.15">
      <c r="B447"/>
      <c r="C447"/>
      <c r="D447"/>
      <c r="E447"/>
      <c r="F447" s="7"/>
      <c r="G447" s="7"/>
      <c r="H447" s="7"/>
      <c r="I447" s="7"/>
      <c r="J447" s="7"/>
    </row>
    <row r="448" spans="2:10" x14ac:dyDescent="0.15">
      <c r="B448"/>
      <c r="C448"/>
      <c r="D448"/>
      <c r="E448"/>
      <c r="F448" s="7"/>
      <c r="G448" s="7"/>
      <c r="H448" s="7"/>
      <c r="I448" s="7"/>
      <c r="J448" s="7"/>
    </row>
    <row r="449" spans="2:10" x14ac:dyDescent="0.15">
      <c r="B449"/>
      <c r="C449"/>
      <c r="D449"/>
      <c r="E449"/>
      <c r="F449" s="7"/>
      <c r="G449" s="7"/>
      <c r="H449" s="7"/>
      <c r="I449" s="7"/>
      <c r="J449" s="7"/>
    </row>
    <row r="450" spans="2:10" x14ac:dyDescent="0.15">
      <c r="B450"/>
      <c r="C450"/>
      <c r="D450"/>
      <c r="E450"/>
      <c r="F450" s="7"/>
      <c r="G450" s="7"/>
      <c r="H450" s="7"/>
      <c r="I450" s="7"/>
      <c r="J450" s="7"/>
    </row>
    <row r="451" spans="2:10" x14ac:dyDescent="0.15">
      <c r="B451"/>
      <c r="C451"/>
      <c r="D451"/>
      <c r="E451"/>
      <c r="F451" s="7"/>
      <c r="G451" s="7"/>
      <c r="H451" s="7"/>
      <c r="I451" s="7"/>
      <c r="J451" s="7"/>
    </row>
    <row r="452" spans="2:10" x14ac:dyDescent="0.15">
      <c r="B452"/>
      <c r="C452"/>
      <c r="D452"/>
      <c r="E452"/>
      <c r="F452" s="7"/>
      <c r="G452" s="7"/>
      <c r="H452" s="7"/>
      <c r="I452" s="7"/>
      <c r="J452" s="7"/>
    </row>
    <row r="453" spans="2:10" x14ac:dyDescent="0.15">
      <c r="B453"/>
      <c r="C453"/>
      <c r="D453"/>
      <c r="E453"/>
      <c r="F453" s="7"/>
      <c r="G453" s="7"/>
      <c r="H453" s="7"/>
      <c r="I453" s="7"/>
      <c r="J453" s="7"/>
    </row>
    <row r="454" spans="2:10" x14ac:dyDescent="0.15">
      <c r="B454"/>
      <c r="C454"/>
      <c r="D454"/>
      <c r="E454"/>
      <c r="F454" s="7"/>
      <c r="G454" s="7"/>
      <c r="H454" s="7"/>
      <c r="I454" s="7"/>
      <c r="J454" s="7"/>
    </row>
    <row r="455" spans="2:10" x14ac:dyDescent="0.15">
      <c r="B455"/>
      <c r="C455"/>
      <c r="D455"/>
      <c r="E455"/>
      <c r="F455" s="7"/>
      <c r="G455" s="7"/>
      <c r="H455" s="7"/>
      <c r="I455" s="7"/>
      <c r="J455" s="7"/>
    </row>
    <row r="456" spans="2:10" x14ac:dyDescent="0.15">
      <c r="B456"/>
      <c r="C456"/>
      <c r="D456"/>
      <c r="E456"/>
      <c r="F456" s="7"/>
      <c r="G456" s="7"/>
      <c r="H456" s="7"/>
      <c r="I456" s="7"/>
      <c r="J456" s="7"/>
    </row>
    <row r="457" spans="2:10" x14ac:dyDescent="0.15">
      <c r="B457"/>
      <c r="C457"/>
      <c r="D457"/>
      <c r="E457"/>
      <c r="F457" s="7"/>
      <c r="G457" s="7"/>
      <c r="H457" s="7"/>
      <c r="I457" s="7"/>
      <c r="J457" s="7"/>
    </row>
    <row r="458" spans="2:10" x14ac:dyDescent="0.15">
      <c r="B458"/>
      <c r="C458"/>
      <c r="D458"/>
      <c r="E458"/>
      <c r="F458" s="7"/>
      <c r="G458" s="7"/>
      <c r="H458" s="7"/>
      <c r="I458" s="7"/>
      <c r="J458" s="7"/>
    </row>
    <row r="459" spans="2:10" x14ac:dyDescent="0.15">
      <c r="B459"/>
      <c r="C459"/>
      <c r="D459"/>
      <c r="E459"/>
      <c r="F459" s="7"/>
      <c r="G459" s="7"/>
      <c r="H459" s="7"/>
      <c r="I459" s="7"/>
      <c r="J459" s="7"/>
    </row>
    <row r="460" spans="2:10" x14ac:dyDescent="0.15">
      <c r="B460"/>
      <c r="C460"/>
      <c r="D460"/>
      <c r="E460"/>
      <c r="F460" s="7"/>
      <c r="G460" s="7"/>
      <c r="H460" s="7"/>
      <c r="I460" s="7"/>
      <c r="J460" s="7"/>
    </row>
    <row r="461" spans="2:10" x14ac:dyDescent="0.15">
      <c r="B461"/>
      <c r="C461"/>
      <c r="D461"/>
      <c r="E461"/>
      <c r="F461" s="7"/>
      <c r="G461" s="7"/>
      <c r="H461" s="7"/>
      <c r="I461" s="7"/>
      <c r="J461" s="7"/>
    </row>
    <row r="462" spans="2:10" x14ac:dyDescent="0.15">
      <c r="B462"/>
      <c r="C462"/>
      <c r="D462"/>
      <c r="E462"/>
      <c r="F462" s="7"/>
      <c r="G462" s="7"/>
      <c r="H462" s="7"/>
      <c r="I462" s="7"/>
      <c r="J462" s="7"/>
    </row>
    <row r="463" spans="2:10" x14ac:dyDescent="0.15">
      <c r="B463"/>
      <c r="C463"/>
      <c r="D463"/>
      <c r="E463"/>
      <c r="F463" s="7"/>
      <c r="G463" s="7"/>
      <c r="H463" s="7"/>
      <c r="I463" s="7"/>
      <c r="J463" s="7"/>
    </row>
    <row r="464" spans="2:10" x14ac:dyDescent="0.15">
      <c r="B464"/>
      <c r="C464"/>
      <c r="D464"/>
      <c r="E464"/>
      <c r="F464" s="7"/>
      <c r="G464" s="7"/>
      <c r="H464" s="7"/>
      <c r="I464" s="7"/>
      <c r="J464" s="7"/>
    </row>
    <row r="465" spans="2:10" x14ac:dyDescent="0.15">
      <c r="B465"/>
      <c r="C465"/>
      <c r="D465"/>
      <c r="E465"/>
      <c r="F465" s="7"/>
      <c r="G465" s="7"/>
      <c r="H465" s="7"/>
      <c r="I465" s="7"/>
      <c r="J465" s="7"/>
    </row>
    <row r="466" spans="2:10" x14ac:dyDescent="0.15">
      <c r="B466"/>
      <c r="C466"/>
      <c r="D466"/>
      <c r="E466"/>
      <c r="F466" s="7"/>
      <c r="G466" s="7"/>
      <c r="H466" s="7"/>
      <c r="I466" s="7"/>
      <c r="J466" s="7"/>
    </row>
    <row r="467" spans="2:10" x14ac:dyDescent="0.15">
      <c r="B467"/>
      <c r="C467"/>
      <c r="D467"/>
      <c r="E467"/>
      <c r="F467" s="7"/>
      <c r="G467" s="7"/>
      <c r="H467" s="7"/>
      <c r="I467" s="7"/>
      <c r="J467" s="7"/>
    </row>
    <row r="468" spans="2:10" x14ac:dyDescent="0.15">
      <c r="B468"/>
      <c r="C468"/>
      <c r="D468"/>
      <c r="E468"/>
      <c r="F468" s="7"/>
      <c r="G468" s="7"/>
      <c r="H468" s="7"/>
      <c r="I468" s="7"/>
      <c r="J468" s="7"/>
    </row>
    <row r="469" spans="2:10" x14ac:dyDescent="0.15">
      <c r="B469"/>
      <c r="C469"/>
      <c r="D469"/>
      <c r="E469"/>
      <c r="F469" s="7"/>
      <c r="G469" s="7"/>
      <c r="H469" s="7"/>
      <c r="I469" s="7"/>
      <c r="J469" s="7"/>
    </row>
    <row r="470" spans="2:10" x14ac:dyDescent="0.15">
      <c r="B470"/>
      <c r="C470"/>
      <c r="D470"/>
      <c r="E470"/>
      <c r="F470" s="7"/>
      <c r="G470" s="7"/>
      <c r="H470" s="7"/>
      <c r="I470" s="7"/>
      <c r="J470" s="7"/>
    </row>
    <row r="471" spans="2:10" x14ac:dyDescent="0.15">
      <c r="B471"/>
      <c r="C471"/>
      <c r="D471"/>
      <c r="E471"/>
      <c r="F471" s="7"/>
      <c r="G471" s="7"/>
      <c r="H471" s="7"/>
      <c r="I471" s="7"/>
      <c r="J471" s="7"/>
    </row>
    <row r="472" spans="2:10" x14ac:dyDescent="0.15">
      <c r="B472"/>
      <c r="C472"/>
      <c r="D472"/>
      <c r="E472"/>
      <c r="F472" s="7"/>
      <c r="G472" s="7"/>
      <c r="H472" s="7"/>
      <c r="I472" s="7"/>
      <c r="J472" s="7"/>
    </row>
    <row r="473" spans="2:10" x14ac:dyDescent="0.15">
      <c r="B473"/>
      <c r="C473"/>
      <c r="D473"/>
      <c r="E473"/>
      <c r="F473" s="7"/>
      <c r="G473" s="7"/>
      <c r="H473" s="7"/>
      <c r="I473" s="7"/>
      <c r="J473" s="7"/>
    </row>
    <row r="474" spans="2:10" x14ac:dyDescent="0.15">
      <c r="B474"/>
      <c r="C474"/>
      <c r="D474"/>
      <c r="E474"/>
      <c r="F474" s="7"/>
      <c r="G474" s="7"/>
      <c r="H474" s="7"/>
      <c r="I474" s="7"/>
      <c r="J474" s="7"/>
    </row>
    <row r="475" spans="2:10" x14ac:dyDescent="0.15">
      <c r="B475"/>
      <c r="C475"/>
      <c r="D475"/>
      <c r="E475"/>
      <c r="F475" s="7"/>
      <c r="G475" s="7"/>
      <c r="H475" s="7"/>
      <c r="I475" s="7"/>
      <c r="J475" s="7"/>
    </row>
    <row r="476" spans="2:10" x14ac:dyDescent="0.15">
      <c r="B476"/>
      <c r="C476"/>
      <c r="D476"/>
      <c r="E476"/>
      <c r="F476" s="7"/>
      <c r="G476" s="7"/>
      <c r="H476" s="7"/>
      <c r="I476" s="7"/>
      <c r="J476" s="7"/>
    </row>
    <row r="477" spans="2:10" x14ac:dyDescent="0.15">
      <c r="B477"/>
      <c r="C477"/>
      <c r="D477"/>
      <c r="E477"/>
      <c r="F477" s="7"/>
      <c r="G477" s="7"/>
      <c r="H477" s="7"/>
      <c r="I477" s="7"/>
      <c r="J477" s="7"/>
    </row>
    <row r="478" spans="2:10" x14ac:dyDescent="0.15">
      <c r="B478"/>
      <c r="C478"/>
      <c r="D478"/>
      <c r="E478"/>
      <c r="F478" s="7"/>
      <c r="G478" s="7"/>
      <c r="H478" s="7"/>
      <c r="I478" s="7"/>
      <c r="J478" s="7"/>
    </row>
    <row r="479" spans="2:10" x14ac:dyDescent="0.15">
      <c r="B479"/>
      <c r="C479"/>
      <c r="D479"/>
      <c r="E479"/>
      <c r="F479" s="7"/>
      <c r="G479" s="7"/>
      <c r="H479" s="7"/>
      <c r="I479" s="7"/>
      <c r="J479" s="7"/>
    </row>
    <row r="480" spans="2:10" x14ac:dyDescent="0.15">
      <c r="B480"/>
      <c r="C480"/>
      <c r="D480"/>
      <c r="E480"/>
      <c r="F480" s="7"/>
      <c r="G480" s="7"/>
      <c r="H480" s="7"/>
      <c r="I480" s="7"/>
      <c r="J480" s="7"/>
    </row>
    <row r="481" spans="2:10" x14ac:dyDescent="0.15">
      <c r="B481"/>
      <c r="C481"/>
      <c r="D481"/>
      <c r="E481"/>
      <c r="F481" s="7"/>
      <c r="G481" s="7"/>
      <c r="H481" s="7"/>
      <c r="I481" s="7"/>
      <c r="J481" s="7"/>
    </row>
    <row r="482" spans="2:10" x14ac:dyDescent="0.15">
      <c r="B482"/>
      <c r="C482"/>
      <c r="D482"/>
      <c r="E482"/>
      <c r="F482" s="7"/>
      <c r="G482" s="7"/>
      <c r="H482" s="7"/>
      <c r="I482" s="7"/>
      <c r="J482" s="7"/>
    </row>
    <row r="483" spans="2:10" x14ac:dyDescent="0.15">
      <c r="B483"/>
      <c r="C483"/>
      <c r="D483"/>
      <c r="E483"/>
      <c r="F483" s="7"/>
      <c r="G483" s="7"/>
      <c r="H483" s="7"/>
      <c r="I483" s="7"/>
      <c r="J483" s="7"/>
    </row>
    <row r="484" spans="2:10" x14ac:dyDescent="0.15">
      <c r="B484"/>
      <c r="C484"/>
      <c r="D484"/>
      <c r="E484"/>
      <c r="F484" s="7"/>
      <c r="G484" s="7"/>
      <c r="H484" s="7"/>
      <c r="I484" s="7"/>
      <c r="J484" s="7"/>
    </row>
    <row r="485" spans="2:10" x14ac:dyDescent="0.15">
      <c r="B485"/>
      <c r="C485"/>
      <c r="D485"/>
      <c r="E485"/>
      <c r="F485" s="7"/>
      <c r="G485" s="7"/>
      <c r="H485" s="7"/>
      <c r="I485" s="7"/>
      <c r="J485" s="7"/>
    </row>
    <row r="486" spans="2:10" x14ac:dyDescent="0.15">
      <c r="B486"/>
      <c r="C486"/>
      <c r="D486"/>
      <c r="E486"/>
      <c r="F486" s="7"/>
      <c r="G486" s="7"/>
      <c r="H486" s="7"/>
      <c r="I486" s="7"/>
      <c r="J486" s="7"/>
    </row>
    <row r="487" spans="2:10" x14ac:dyDescent="0.15">
      <c r="B487"/>
      <c r="C487"/>
      <c r="D487"/>
      <c r="E487"/>
      <c r="F487" s="7"/>
      <c r="G487" s="7"/>
      <c r="H487" s="7"/>
      <c r="I487" s="7"/>
      <c r="J487" s="7"/>
    </row>
    <row r="488" spans="2:10" x14ac:dyDescent="0.15">
      <c r="B488"/>
      <c r="C488"/>
      <c r="D488"/>
      <c r="E488"/>
      <c r="F488" s="7"/>
      <c r="G488" s="7"/>
      <c r="H488" s="7"/>
      <c r="I488" s="7"/>
      <c r="J488" s="7"/>
    </row>
    <row r="489" spans="2:10" x14ac:dyDescent="0.15">
      <c r="B489"/>
      <c r="C489"/>
      <c r="D489"/>
      <c r="E489"/>
      <c r="F489" s="7"/>
      <c r="G489" s="7"/>
      <c r="H489" s="7"/>
      <c r="I489" s="7"/>
      <c r="J489" s="7"/>
    </row>
    <row r="490" spans="2:10" x14ac:dyDescent="0.15">
      <c r="B490"/>
      <c r="C490"/>
      <c r="D490"/>
      <c r="E490"/>
      <c r="F490" s="7"/>
      <c r="G490" s="7"/>
      <c r="H490" s="7"/>
      <c r="I490" s="7"/>
      <c r="J490" s="7"/>
    </row>
    <row r="491" spans="2:10" x14ac:dyDescent="0.15">
      <c r="B491"/>
      <c r="C491"/>
      <c r="D491"/>
      <c r="E491"/>
      <c r="F491" s="7"/>
      <c r="G491" s="7"/>
      <c r="H491" s="7"/>
      <c r="I491" s="7"/>
      <c r="J491" s="7"/>
    </row>
    <row r="492" spans="2:10" x14ac:dyDescent="0.15">
      <c r="B492"/>
      <c r="C492"/>
      <c r="D492"/>
      <c r="E492"/>
      <c r="F492" s="7"/>
      <c r="G492" s="7"/>
      <c r="H492" s="7"/>
      <c r="I492" s="7"/>
      <c r="J492" s="7"/>
    </row>
    <row r="493" spans="2:10" x14ac:dyDescent="0.15">
      <c r="B493"/>
      <c r="C493"/>
      <c r="D493"/>
      <c r="E493"/>
      <c r="F493" s="7"/>
      <c r="G493" s="7"/>
      <c r="H493" s="7"/>
      <c r="I493" s="7"/>
      <c r="J493" s="7"/>
    </row>
    <row r="494" spans="2:10" x14ac:dyDescent="0.15">
      <c r="B494"/>
      <c r="C494"/>
      <c r="D494"/>
      <c r="E494"/>
      <c r="F494" s="7"/>
      <c r="G494" s="7"/>
      <c r="H494" s="7"/>
      <c r="I494" s="7"/>
      <c r="J494" s="7"/>
    </row>
    <row r="495" spans="2:10" x14ac:dyDescent="0.15">
      <c r="B495"/>
      <c r="C495"/>
      <c r="D495"/>
      <c r="E495"/>
      <c r="F495" s="7"/>
      <c r="G495" s="7"/>
      <c r="H495" s="7"/>
      <c r="I495" s="7"/>
      <c r="J495" s="7"/>
    </row>
    <row r="496" spans="2:10" x14ac:dyDescent="0.15">
      <c r="B496"/>
      <c r="C496"/>
      <c r="D496"/>
      <c r="E496"/>
      <c r="F496" s="7"/>
      <c r="G496" s="7"/>
      <c r="H496" s="7"/>
      <c r="I496" s="7"/>
      <c r="J496" s="7"/>
    </row>
    <row r="497" spans="2:10" x14ac:dyDescent="0.15">
      <c r="B497"/>
      <c r="C497"/>
      <c r="D497"/>
      <c r="E497"/>
      <c r="F497" s="7"/>
      <c r="G497" s="7"/>
      <c r="H497" s="7"/>
      <c r="I497" s="7"/>
      <c r="J497" s="7"/>
    </row>
    <row r="498" spans="2:10" x14ac:dyDescent="0.15">
      <c r="B498"/>
      <c r="C498"/>
      <c r="D498"/>
      <c r="E498"/>
      <c r="F498" s="7"/>
      <c r="G498" s="7"/>
      <c r="H498" s="7"/>
      <c r="I498" s="7"/>
      <c r="J498" s="7"/>
    </row>
    <row r="499" spans="2:10" x14ac:dyDescent="0.15">
      <c r="B499"/>
      <c r="C499"/>
      <c r="D499"/>
      <c r="E499"/>
      <c r="F499" s="7"/>
      <c r="G499" s="7"/>
      <c r="H499" s="7"/>
      <c r="I499" s="7"/>
      <c r="J499" s="7"/>
    </row>
    <row r="500" spans="2:10" x14ac:dyDescent="0.15">
      <c r="B500"/>
      <c r="C500"/>
      <c r="D500"/>
      <c r="E500"/>
      <c r="F500" s="7"/>
      <c r="G500" s="7"/>
      <c r="H500" s="7"/>
      <c r="I500" s="7"/>
      <c r="J500" s="7"/>
    </row>
    <row r="501" spans="2:10" x14ac:dyDescent="0.15">
      <c r="B501"/>
      <c r="C501"/>
      <c r="D501"/>
      <c r="E501"/>
      <c r="F501" s="7"/>
      <c r="G501" s="7"/>
      <c r="H501" s="7"/>
      <c r="I501" s="7"/>
      <c r="J501" s="7"/>
    </row>
    <row r="502" spans="2:10" x14ac:dyDescent="0.15">
      <c r="B502"/>
      <c r="C502"/>
      <c r="D502"/>
      <c r="E502"/>
      <c r="F502" s="7"/>
      <c r="G502" s="7"/>
      <c r="H502" s="7"/>
      <c r="I502" s="7"/>
      <c r="J502" s="7"/>
    </row>
    <row r="503" spans="2:10" x14ac:dyDescent="0.15">
      <c r="B503"/>
      <c r="C503"/>
      <c r="D503"/>
      <c r="E503"/>
      <c r="F503" s="7"/>
      <c r="G503" s="7"/>
      <c r="H503" s="7"/>
      <c r="I503" s="7"/>
      <c r="J503" s="7"/>
    </row>
    <row r="504" spans="2:10" x14ac:dyDescent="0.15">
      <c r="B504"/>
      <c r="C504"/>
      <c r="D504"/>
      <c r="E504"/>
      <c r="F504" s="7"/>
      <c r="G504" s="7"/>
      <c r="H504" s="7"/>
      <c r="I504" s="7"/>
      <c r="J504" s="7"/>
    </row>
    <row r="505" spans="2:10" x14ac:dyDescent="0.15">
      <c r="B505"/>
      <c r="C505"/>
      <c r="D505"/>
      <c r="E505"/>
      <c r="F505" s="7"/>
      <c r="G505" s="7"/>
      <c r="H505" s="7"/>
      <c r="I505" s="7"/>
      <c r="J505" s="7"/>
    </row>
    <row r="506" spans="2:10" x14ac:dyDescent="0.15">
      <c r="B506"/>
      <c r="C506"/>
      <c r="D506"/>
      <c r="E506"/>
      <c r="F506" s="7"/>
      <c r="G506" s="7"/>
      <c r="H506" s="7"/>
      <c r="I506" s="7"/>
      <c r="J506" s="7"/>
    </row>
    <row r="507" spans="2:10" x14ac:dyDescent="0.15">
      <c r="B507"/>
      <c r="C507"/>
      <c r="D507"/>
      <c r="E507"/>
      <c r="F507" s="7"/>
      <c r="G507" s="7"/>
      <c r="H507" s="7"/>
      <c r="I507" s="7"/>
      <c r="J507" s="7"/>
    </row>
    <row r="508" spans="2:10" x14ac:dyDescent="0.15">
      <c r="B508"/>
      <c r="C508"/>
      <c r="D508"/>
      <c r="E508"/>
      <c r="F508" s="7"/>
      <c r="G508" s="7"/>
      <c r="H508" s="7"/>
      <c r="I508" s="7"/>
      <c r="J508" s="7"/>
    </row>
    <row r="509" spans="2:10" x14ac:dyDescent="0.15">
      <c r="B509"/>
      <c r="C509"/>
      <c r="D509"/>
      <c r="E509"/>
      <c r="F509" s="7"/>
      <c r="G509" s="7"/>
      <c r="H509" s="7"/>
      <c r="I509" s="7"/>
      <c r="J509" s="7"/>
    </row>
    <row r="510" spans="2:10" x14ac:dyDescent="0.15">
      <c r="B510"/>
      <c r="C510"/>
      <c r="D510"/>
      <c r="E510"/>
      <c r="F510" s="7"/>
      <c r="G510" s="7"/>
      <c r="H510" s="7"/>
      <c r="I510" s="7"/>
      <c r="J510" s="7"/>
    </row>
    <row r="511" spans="2:10" x14ac:dyDescent="0.15">
      <c r="B511"/>
      <c r="C511"/>
      <c r="D511"/>
      <c r="E511"/>
      <c r="F511" s="7"/>
      <c r="G511" s="7"/>
      <c r="H511" s="7"/>
      <c r="I511" s="7"/>
      <c r="J511" s="7"/>
    </row>
    <row r="512" spans="2:10" x14ac:dyDescent="0.15">
      <c r="B512"/>
      <c r="C512"/>
      <c r="D512"/>
      <c r="E512"/>
      <c r="F512" s="7"/>
      <c r="G512" s="7"/>
      <c r="H512" s="7"/>
      <c r="I512" s="7"/>
      <c r="J512" s="7"/>
    </row>
    <row r="513" spans="2:10" x14ac:dyDescent="0.15">
      <c r="B513"/>
      <c r="C513"/>
      <c r="D513"/>
      <c r="E513"/>
      <c r="F513" s="7"/>
      <c r="G513" s="7"/>
      <c r="H513" s="7"/>
      <c r="I513" s="7"/>
      <c r="J513" s="7"/>
    </row>
    <row r="514" spans="2:10" x14ac:dyDescent="0.15">
      <c r="B514"/>
      <c r="C514"/>
      <c r="D514"/>
      <c r="E514"/>
      <c r="F514" s="7"/>
      <c r="G514" s="7"/>
      <c r="H514" s="7"/>
      <c r="I514" s="7"/>
      <c r="J514" s="7"/>
    </row>
    <row r="515" spans="2:10" x14ac:dyDescent="0.15">
      <c r="B515"/>
      <c r="C515"/>
      <c r="D515"/>
      <c r="E515"/>
      <c r="F515" s="7"/>
      <c r="G515" s="7"/>
      <c r="H515" s="7"/>
      <c r="I515" s="7"/>
      <c r="J515" s="7"/>
    </row>
    <row r="516" spans="2:10" x14ac:dyDescent="0.15">
      <c r="B516"/>
      <c r="C516"/>
      <c r="D516"/>
      <c r="E516"/>
      <c r="F516" s="7"/>
      <c r="G516" s="7"/>
      <c r="H516" s="7"/>
      <c r="I516" s="7"/>
      <c r="J516" s="7"/>
    </row>
    <row r="517" spans="2:10" x14ac:dyDescent="0.15">
      <c r="B517"/>
      <c r="C517"/>
      <c r="D517"/>
      <c r="E517"/>
      <c r="F517" s="7"/>
      <c r="G517" s="7"/>
      <c r="H517" s="7"/>
      <c r="I517" s="7"/>
      <c r="J517" s="7"/>
    </row>
    <row r="518" spans="2:10" x14ac:dyDescent="0.15">
      <c r="B518"/>
      <c r="C518"/>
      <c r="D518"/>
      <c r="E518"/>
      <c r="F518" s="7"/>
      <c r="G518" s="7"/>
      <c r="H518" s="7"/>
      <c r="I518" s="7"/>
      <c r="J518" s="7"/>
    </row>
    <row r="519" spans="2:10" x14ac:dyDescent="0.15">
      <c r="B519"/>
      <c r="C519"/>
      <c r="D519"/>
      <c r="E519"/>
      <c r="F519" s="7"/>
      <c r="G519" s="7"/>
      <c r="H519" s="7"/>
      <c r="I519" s="7"/>
      <c r="J519" s="7"/>
    </row>
    <row r="520" spans="2:10" x14ac:dyDescent="0.15">
      <c r="B520"/>
      <c r="C520"/>
      <c r="D520"/>
      <c r="E520"/>
      <c r="F520" s="7"/>
      <c r="G520" s="7"/>
      <c r="H520" s="7"/>
      <c r="I520" s="7"/>
      <c r="J520" s="7"/>
    </row>
    <row r="521" spans="2:10" x14ac:dyDescent="0.15">
      <c r="B521"/>
      <c r="C521"/>
      <c r="D521"/>
      <c r="E521"/>
      <c r="F521" s="7"/>
      <c r="G521" s="7"/>
      <c r="H521" s="7"/>
      <c r="I521" s="7"/>
      <c r="J521" s="7"/>
    </row>
    <row r="522" spans="2:10" x14ac:dyDescent="0.15">
      <c r="B522"/>
      <c r="C522"/>
      <c r="D522"/>
      <c r="E522"/>
      <c r="F522" s="7"/>
      <c r="G522" s="7"/>
      <c r="H522" s="7"/>
      <c r="I522" s="7"/>
      <c r="J522" s="7"/>
    </row>
    <row r="523" spans="2:10" x14ac:dyDescent="0.15">
      <c r="B523"/>
      <c r="C523"/>
      <c r="D523"/>
      <c r="E523"/>
      <c r="F523" s="7"/>
      <c r="G523" s="7"/>
      <c r="H523" s="7"/>
      <c r="I523" s="7"/>
      <c r="J523" s="7"/>
    </row>
    <row r="524" spans="2:10" x14ac:dyDescent="0.15">
      <c r="B524"/>
      <c r="C524"/>
      <c r="D524"/>
      <c r="E524"/>
      <c r="F524" s="7"/>
      <c r="G524" s="7"/>
      <c r="H524" s="7"/>
      <c r="I524" s="7"/>
      <c r="J524" s="7"/>
    </row>
    <row r="525" spans="2:10" x14ac:dyDescent="0.15">
      <c r="B525"/>
      <c r="C525"/>
      <c r="D525"/>
      <c r="E525"/>
      <c r="F525" s="7"/>
      <c r="G525" s="7"/>
      <c r="H525" s="7"/>
      <c r="I525" s="7"/>
      <c r="J525" s="7"/>
    </row>
    <row r="526" spans="2:10" x14ac:dyDescent="0.15">
      <c r="B526"/>
      <c r="C526"/>
      <c r="D526"/>
      <c r="E526"/>
      <c r="F526" s="7"/>
      <c r="G526" s="7"/>
      <c r="H526" s="7"/>
      <c r="I526" s="7"/>
      <c r="J526" s="7"/>
    </row>
    <row r="527" spans="2:10" x14ac:dyDescent="0.15">
      <c r="B527"/>
      <c r="C527"/>
      <c r="D527"/>
      <c r="E527"/>
      <c r="F527" s="7"/>
      <c r="G527" s="7"/>
      <c r="H527" s="7"/>
      <c r="I527" s="7"/>
      <c r="J527" s="7"/>
    </row>
    <row r="528" spans="2:10" x14ac:dyDescent="0.15">
      <c r="B528"/>
      <c r="C528"/>
      <c r="D528"/>
      <c r="E528"/>
      <c r="F528" s="7"/>
      <c r="G528" s="7"/>
      <c r="H528" s="7"/>
      <c r="I528" s="7"/>
      <c r="J528" s="7"/>
    </row>
    <row r="529" spans="2:10" x14ac:dyDescent="0.15">
      <c r="B529"/>
      <c r="C529"/>
      <c r="D529"/>
      <c r="E529"/>
      <c r="F529" s="7"/>
      <c r="G529" s="7"/>
      <c r="H529" s="7"/>
      <c r="I529" s="7"/>
      <c r="J529" s="7"/>
    </row>
    <row r="530" spans="2:10" x14ac:dyDescent="0.15">
      <c r="B530"/>
      <c r="C530"/>
      <c r="D530"/>
      <c r="E530"/>
      <c r="F530" s="7"/>
      <c r="G530" s="7"/>
      <c r="H530" s="7"/>
      <c r="I530" s="7"/>
      <c r="J530" s="7"/>
    </row>
    <row r="531" spans="2:10" x14ac:dyDescent="0.15">
      <c r="B531"/>
      <c r="C531"/>
      <c r="D531"/>
      <c r="E531"/>
      <c r="F531" s="7"/>
      <c r="G531" s="7"/>
      <c r="H531" s="7"/>
      <c r="I531" s="7"/>
      <c r="J531" s="7"/>
    </row>
    <row r="532" spans="2:10" x14ac:dyDescent="0.15">
      <c r="B532"/>
      <c r="C532"/>
      <c r="D532"/>
      <c r="E532"/>
      <c r="F532" s="7"/>
      <c r="G532" s="7"/>
      <c r="H532" s="7"/>
      <c r="I532" s="7"/>
      <c r="J532" s="7"/>
    </row>
    <row r="533" spans="2:10" x14ac:dyDescent="0.15">
      <c r="B533"/>
      <c r="C533"/>
      <c r="D533"/>
      <c r="E533"/>
      <c r="F533" s="7"/>
      <c r="G533" s="7"/>
      <c r="H533" s="7"/>
      <c r="I533" s="7"/>
      <c r="J533" s="7"/>
    </row>
    <row r="534" spans="2:10" x14ac:dyDescent="0.15">
      <c r="B534"/>
      <c r="C534"/>
      <c r="D534"/>
      <c r="E534"/>
      <c r="F534" s="7"/>
      <c r="G534" s="7"/>
      <c r="H534" s="7"/>
      <c r="I534" s="7"/>
      <c r="J534" s="7"/>
    </row>
    <row r="535" spans="2:10" x14ac:dyDescent="0.15">
      <c r="B535"/>
      <c r="C535"/>
      <c r="D535"/>
      <c r="E535"/>
      <c r="F535" s="7"/>
      <c r="G535" s="7"/>
      <c r="H535" s="7"/>
      <c r="I535" s="7"/>
      <c r="J535" s="7"/>
    </row>
    <row r="536" spans="2:10" x14ac:dyDescent="0.15">
      <c r="B536"/>
      <c r="C536"/>
      <c r="D536"/>
      <c r="E536"/>
      <c r="F536" s="7"/>
      <c r="G536" s="7"/>
      <c r="H536" s="7"/>
      <c r="I536" s="7"/>
      <c r="J536" s="7"/>
    </row>
    <row r="537" spans="2:10" x14ac:dyDescent="0.15">
      <c r="B537"/>
      <c r="C537"/>
      <c r="D537"/>
      <c r="E537"/>
      <c r="F537" s="7"/>
      <c r="G537" s="7"/>
      <c r="H537" s="7"/>
      <c r="I537" s="7"/>
      <c r="J537" s="7"/>
    </row>
    <row r="538" spans="2:10" x14ac:dyDescent="0.15">
      <c r="B538"/>
      <c r="C538"/>
      <c r="D538"/>
      <c r="E538"/>
      <c r="F538" s="7"/>
      <c r="G538" s="7"/>
      <c r="H538" s="7"/>
      <c r="I538" s="7"/>
      <c r="J538" s="7"/>
    </row>
    <row r="539" spans="2:10" x14ac:dyDescent="0.15">
      <c r="B539"/>
      <c r="C539"/>
      <c r="D539"/>
      <c r="E539"/>
      <c r="F539" s="7"/>
      <c r="G539" s="7"/>
      <c r="H539" s="7"/>
      <c r="I539" s="7"/>
      <c r="J539" s="7"/>
    </row>
    <row r="540" spans="2:10" x14ac:dyDescent="0.15">
      <c r="B540"/>
      <c r="C540"/>
      <c r="D540"/>
      <c r="E540"/>
      <c r="F540" s="7"/>
      <c r="G540" s="7"/>
      <c r="H540" s="7"/>
      <c r="I540" s="7"/>
      <c r="J540" s="7"/>
    </row>
    <row r="541" spans="2:10" x14ac:dyDescent="0.15">
      <c r="B541"/>
      <c r="C541"/>
      <c r="D541"/>
      <c r="E541"/>
      <c r="F541" s="7"/>
      <c r="G541" s="7"/>
      <c r="H541" s="7"/>
      <c r="I541" s="7"/>
      <c r="J541" s="7"/>
    </row>
    <row r="542" spans="2:10" x14ac:dyDescent="0.15">
      <c r="B542"/>
      <c r="C542"/>
      <c r="D542"/>
      <c r="E542"/>
      <c r="F542" s="7"/>
      <c r="G542" s="7"/>
      <c r="H542" s="7"/>
      <c r="I542" s="7"/>
      <c r="J542" s="7"/>
    </row>
    <row r="543" spans="2:10" x14ac:dyDescent="0.15">
      <c r="B543"/>
      <c r="C543"/>
      <c r="D543"/>
      <c r="E543"/>
      <c r="F543" s="7"/>
      <c r="G543" s="7"/>
      <c r="H543" s="7"/>
      <c r="I543" s="7"/>
      <c r="J543" s="7"/>
    </row>
    <row r="544" spans="2:10" x14ac:dyDescent="0.15">
      <c r="B544"/>
      <c r="C544"/>
      <c r="D544"/>
      <c r="E544"/>
      <c r="F544" s="7"/>
      <c r="G544" s="7"/>
      <c r="H544" s="7"/>
      <c r="I544" s="7"/>
      <c r="J544" s="7"/>
    </row>
    <row r="545" spans="2:10" x14ac:dyDescent="0.15">
      <c r="B545"/>
      <c r="C545"/>
      <c r="D545"/>
      <c r="E545"/>
      <c r="F545" s="7"/>
      <c r="G545" s="7"/>
      <c r="H545" s="7"/>
      <c r="I545" s="7"/>
      <c r="J545" s="7"/>
    </row>
    <row r="546" spans="2:10" x14ac:dyDescent="0.15">
      <c r="B546"/>
      <c r="C546"/>
      <c r="D546"/>
      <c r="E546"/>
      <c r="F546" s="7"/>
      <c r="G546" s="7"/>
      <c r="H546" s="7"/>
      <c r="I546" s="7"/>
      <c r="J546" s="7"/>
    </row>
    <row r="547" spans="2:10" x14ac:dyDescent="0.15">
      <c r="B547"/>
      <c r="C547"/>
      <c r="D547"/>
      <c r="E547"/>
      <c r="F547" s="7"/>
      <c r="G547" s="7"/>
      <c r="H547" s="7"/>
      <c r="I547" s="7"/>
      <c r="J547" s="7"/>
    </row>
    <row r="548" spans="2:10" x14ac:dyDescent="0.15">
      <c r="B548"/>
      <c r="C548"/>
      <c r="D548"/>
      <c r="E548"/>
      <c r="F548" s="7"/>
      <c r="G548" s="7"/>
      <c r="H548" s="7"/>
      <c r="I548" s="7"/>
      <c r="J548" s="7"/>
    </row>
    <row r="549" spans="2:10" x14ac:dyDescent="0.15">
      <c r="B549"/>
      <c r="C549"/>
      <c r="D549"/>
      <c r="E549"/>
      <c r="F549" s="7"/>
      <c r="G549" s="7"/>
      <c r="H549" s="7"/>
      <c r="I549" s="7"/>
      <c r="J549" s="7"/>
    </row>
    <row r="550" spans="2:10" x14ac:dyDescent="0.15">
      <c r="B550"/>
      <c r="C550"/>
      <c r="D550"/>
      <c r="E550"/>
      <c r="F550" s="7"/>
      <c r="G550" s="7"/>
      <c r="H550" s="7"/>
      <c r="I550" s="7"/>
      <c r="J550" s="7"/>
    </row>
    <row r="551" spans="2:10" x14ac:dyDescent="0.15">
      <c r="B551"/>
      <c r="C551"/>
      <c r="D551"/>
      <c r="E551"/>
      <c r="F551" s="7"/>
      <c r="G551" s="7"/>
      <c r="H551" s="7"/>
      <c r="I551" s="7"/>
      <c r="J551" s="7"/>
    </row>
    <row r="552" spans="2:10" x14ac:dyDescent="0.15">
      <c r="B552"/>
      <c r="C552"/>
      <c r="D552"/>
      <c r="E552"/>
      <c r="F552" s="7"/>
      <c r="G552" s="7"/>
      <c r="H552" s="7"/>
      <c r="I552" s="7"/>
      <c r="J552" s="7"/>
    </row>
    <row r="553" spans="2:10" x14ac:dyDescent="0.15">
      <c r="B553"/>
      <c r="C553"/>
      <c r="D553"/>
      <c r="E553"/>
      <c r="F553" s="7"/>
      <c r="G553" s="7"/>
      <c r="H553" s="7"/>
      <c r="I553" s="7"/>
      <c r="J553" s="7"/>
    </row>
    <row r="554" spans="2:10" x14ac:dyDescent="0.15">
      <c r="B554"/>
      <c r="C554"/>
      <c r="D554"/>
      <c r="E554"/>
      <c r="F554" s="7"/>
      <c r="G554" s="7"/>
      <c r="H554" s="7"/>
      <c r="I554" s="7"/>
      <c r="J554" s="7"/>
    </row>
    <row r="555" spans="2:10" x14ac:dyDescent="0.15">
      <c r="B555"/>
      <c r="C555"/>
      <c r="D555"/>
      <c r="E555"/>
      <c r="F555" s="7"/>
      <c r="G555" s="7"/>
      <c r="H555" s="7"/>
      <c r="I555" s="7"/>
      <c r="J555" s="7"/>
    </row>
    <row r="556" spans="2:10" x14ac:dyDescent="0.15">
      <c r="B556"/>
      <c r="C556"/>
      <c r="D556"/>
      <c r="E556"/>
      <c r="F556" s="7"/>
      <c r="G556" s="7"/>
      <c r="H556" s="7"/>
      <c r="I556" s="7"/>
      <c r="J556" s="7"/>
    </row>
    <row r="557" spans="2:10" x14ac:dyDescent="0.15">
      <c r="B557"/>
      <c r="C557"/>
      <c r="D557"/>
      <c r="E557"/>
      <c r="F557" s="7"/>
      <c r="G557" s="7"/>
      <c r="H557" s="7"/>
      <c r="I557" s="7"/>
      <c r="J557" s="7"/>
    </row>
    <row r="558" spans="2:10" x14ac:dyDescent="0.15">
      <c r="B558"/>
      <c r="C558"/>
      <c r="D558"/>
      <c r="E558"/>
      <c r="F558" s="7"/>
      <c r="G558" s="7"/>
      <c r="H558" s="7"/>
      <c r="I558" s="7"/>
      <c r="J558" s="7"/>
    </row>
    <row r="559" spans="2:10" x14ac:dyDescent="0.15">
      <c r="B559"/>
      <c r="C559"/>
      <c r="D559"/>
      <c r="E559"/>
      <c r="F559" s="7"/>
      <c r="G559" s="7"/>
      <c r="H559" s="7"/>
      <c r="I559" s="7"/>
      <c r="J559" s="7"/>
    </row>
    <row r="560" spans="2:10" x14ac:dyDescent="0.15">
      <c r="B560"/>
      <c r="C560"/>
      <c r="D560"/>
      <c r="E560"/>
      <c r="F560" s="7"/>
      <c r="G560" s="7"/>
      <c r="H560" s="7"/>
      <c r="I560" s="7"/>
      <c r="J560" s="7"/>
    </row>
    <row r="561" spans="2:10" x14ac:dyDescent="0.15">
      <c r="B561"/>
      <c r="C561"/>
      <c r="D561"/>
      <c r="E561"/>
      <c r="F561" s="7"/>
      <c r="G561" s="7"/>
      <c r="H561" s="7"/>
      <c r="I561" s="7"/>
      <c r="J561" s="7"/>
    </row>
    <row r="562" spans="2:10" x14ac:dyDescent="0.15">
      <c r="B562"/>
      <c r="C562"/>
      <c r="D562"/>
      <c r="E562"/>
      <c r="F562" s="7"/>
      <c r="G562" s="7"/>
      <c r="H562" s="7"/>
      <c r="I562" s="7"/>
      <c r="J562" s="7"/>
    </row>
    <row r="563" spans="2:10" x14ac:dyDescent="0.15">
      <c r="B563"/>
      <c r="C563"/>
      <c r="D563"/>
      <c r="E563"/>
      <c r="F563" s="7"/>
      <c r="G563" s="7"/>
      <c r="H563" s="7"/>
      <c r="I563" s="7"/>
      <c r="J563" s="7"/>
    </row>
    <row r="564" spans="2:10" x14ac:dyDescent="0.15">
      <c r="B564"/>
      <c r="C564"/>
      <c r="D564"/>
      <c r="E564"/>
      <c r="F564" s="7"/>
      <c r="G564" s="7"/>
      <c r="H564" s="7"/>
      <c r="I564" s="7"/>
      <c r="J564" s="7"/>
    </row>
    <row r="565" spans="2:10" x14ac:dyDescent="0.15">
      <c r="B565"/>
      <c r="C565"/>
      <c r="D565"/>
      <c r="E565"/>
      <c r="F565" s="7"/>
      <c r="G565" s="7"/>
      <c r="H565" s="7"/>
      <c r="I565" s="7"/>
      <c r="J565" s="7"/>
    </row>
    <row r="566" spans="2:10" x14ac:dyDescent="0.15">
      <c r="B566"/>
      <c r="C566"/>
      <c r="D566"/>
      <c r="E566"/>
      <c r="F566" s="7"/>
      <c r="G566" s="7"/>
      <c r="H566" s="7"/>
      <c r="I566" s="7"/>
      <c r="J566" s="7"/>
    </row>
    <row r="567" spans="2:10" x14ac:dyDescent="0.15">
      <c r="B567"/>
      <c r="C567"/>
      <c r="D567"/>
      <c r="E567"/>
      <c r="F567" s="7"/>
      <c r="G567" s="7"/>
      <c r="H567" s="7"/>
      <c r="I567" s="7"/>
      <c r="J567" s="7"/>
    </row>
    <row r="568" spans="2:10" x14ac:dyDescent="0.15">
      <c r="B568"/>
      <c r="C568"/>
      <c r="D568"/>
      <c r="E568"/>
      <c r="F568" s="7"/>
      <c r="G568" s="7"/>
      <c r="H568" s="7"/>
      <c r="I568" s="7"/>
      <c r="J568" s="7"/>
    </row>
    <row r="569" spans="2:10" x14ac:dyDescent="0.15">
      <c r="B569"/>
      <c r="C569"/>
      <c r="D569"/>
      <c r="E569"/>
      <c r="F569" s="7"/>
      <c r="G569" s="7"/>
      <c r="H569" s="7"/>
      <c r="I569" s="7"/>
      <c r="J569" s="7"/>
    </row>
    <row r="570" spans="2:10" x14ac:dyDescent="0.15">
      <c r="B570"/>
      <c r="C570"/>
      <c r="D570"/>
      <c r="E570"/>
      <c r="F570" s="7"/>
      <c r="G570" s="7"/>
      <c r="H570" s="7"/>
      <c r="I570" s="7"/>
      <c r="J570" s="7"/>
    </row>
    <row r="571" spans="2:10" x14ac:dyDescent="0.15">
      <c r="B571"/>
      <c r="C571"/>
      <c r="D571"/>
      <c r="E571"/>
      <c r="F571" s="7"/>
      <c r="G571" s="7"/>
      <c r="H571" s="7"/>
      <c r="I571" s="7"/>
      <c r="J571" s="7"/>
    </row>
    <row r="572" spans="2:10" x14ac:dyDescent="0.15">
      <c r="B572"/>
      <c r="C572"/>
      <c r="D572"/>
      <c r="E572"/>
      <c r="F572" s="7"/>
      <c r="G572" s="7"/>
      <c r="H572" s="7"/>
      <c r="I572" s="7"/>
      <c r="J572" s="7"/>
    </row>
    <row r="573" spans="2:10" x14ac:dyDescent="0.15">
      <c r="B573"/>
      <c r="C573"/>
      <c r="D573"/>
      <c r="E573"/>
      <c r="F573" s="7"/>
      <c r="G573" s="7"/>
      <c r="H573" s="7"/>
      <c r="I573" s="7"/>
      <c r="J573" s="7"/>
    </row>
    <row r="574" spans="2:10" x14ac:dyDescent="0.15">
      <c r="B574"/>
      <c r="C574"/>
      <c r="D574"/>
      <c r="E574"/>
      <c r="F574" s="7"/>
      <c r="G574" s="7"/>
      <c r="H574" s="7"/>
      <c r="I574" s="7"/>
      <c r="J574" s="7"/>
    </row>
    <row r="575" spans="2:10" x14ac:dyDescent="0.15">
      <c r="B575"/>
      <c r="C575"/>
      <c r="D575"/>
      <c r="E575"/>
      <c r="F575" s="7"/>
      <c r="G575" s="7"/>
      <c r="H575" s="7"/>
      <c r="I575" s="7"/>
      <c r="J575" s="7"/>
    </row>
    <row r="576" spans="2:10" x14ac:dyDescent="0.15">
      <c r="B576"/>
      <c r="C576"/>
      <c r="D576"/>
      <c r="E576"/>
      <c r="F576" s="7"/>
      <c r="G576" s="7"/>
      <c r="H576" s="7"/>
      <c r="I576" s="7"/>
      <c r="J576" s="7"/>
    </row>
    <row r="577" spans="2:10" x14ac:dyDescent="0.15">
      <c r="B577"/>
      <c r="C577"/>
      <c r="D577"/>
      <c r="E577"/>
      <c r="F577" s="7"/>
      <c r="G577" s="7"/>
      <c r="H577" s="7"/>
      <c r="I577" s="7"/>
      <c r="J577" s="7"/>
    </row>
    <row r="578" spans="2:10" x14ac:dyDescent="0.15">
      <c r="B578"/>
      <c r="C578"/>
      <c r="D578"/>
      <c r="E578"/>
      <c r="F578" s="7"/>
      <c r="G578" s="7"/>
      <c r="H578" s="7"/>
      <c r="I578" s="7"/>
      <c r="J578" s="7"/>
    </row>
    <row r="579" spans="2:10" x14ac:dyDescent="0.15">
      <c r="B579"/>
      <c r="C579"/>
      <c r="D579"/>
      <c r="E579"/>
      <c r="F579" s="7"/>
      <c r="G579" s="7"/>
      <c r="H579" s="7"/>
      <c r="I579" s="7"/>
      <c r="J579" s="7"/>
    </row>
    <row r="580" spans="2:10" x14ac:dyDescent="0.15">
      <c r="B580"/>
      <c r="C580"/>
      <c r="D580"/>
      <c r="E580"/>
      <c r="F580" s="7"/>
      <c r="G580" s="7"/>
      <c r="H580" s="7"/>
      <c r="I580" s="7"/>
      <c r="J580" s="7"/>
    </row>
    <row r="581" spans="2:10" x14ac:dyDescent="0.15">
      <c r="B581"/>
      <c r="C581"/>
      <c r="D581"/>
      <c r="E581"/>
      <c r="F581" s="7"/>
      <c r="G581" s="7"/>
      <c r="H581" s="7"/>
      <c r="I581" s="7"/>
      <c r="J581" s="7"/>
    </row>
    <row r="582" spans="2:10" x14ac:dyDescent="0.15">
      <c r="B582"/>
      <c r="C582"/>
      <c r="D582"/>
      <c r="E582"/>
      <c r="F582" s="7"/>
      <c r="G582" s="7"/>
      <c r="H582" s="7"/>
      <c r="I582" s="7"/>
      <c r="J582" s="7"/>
    </row>
    <row r="583" spans="2:10" x14ac:dyDescent="0.15">
      <c r="B583"/>
      <c r="C583"/>
      <c r="D583"/>
      <c r="E583"/>
      <c r="F583" s="7"/>
      <c r="G583" s="7"/>
      <c r="H583" s="7"/>
      <c r="I583" s="7"/>
      <c r="J583" s="7"/>
    </row>
    <row r="584" spans="2:10" x14ac:dyDescent="0.15">
      <c r="B584"/>
      <c r="C584"/>
      <c r="D584"/>
      <c r="E584"/>
      <c r="F584" s="7"/>
      <c r="G584" s="7"/>
      <c r="H584" s="7"/>
      <c r="I584" s="7"/>
      <c r="J584" s="7"/>
    </row>
    <row r="585" spans="2:10" x14ac:dyDescent="0.15">
      <c r="B585"/>
      <c r="C585"/>
      <c r="D585"/>
      <c r="E585"/>
      <c r="F585" s="7"/>
      <c r="G585" s="7"/>
      <c r="H585" s="7"/>
      <c r="I585" s="7"/>
      <c r="J585" s="7"/>
    </row>
    <row r="586" spans="2:10" x14ac:dyDescent="0.15">
      <c r="B586"/>
      <c r="C586"/>
      <c r="D586"/>
      <c r="E586"/>
      <c r="F586" s="7"/>
      <c r="G586" s="7"/>
      <c r="H586" s="7"/>
      <c r="I586" s="7"/>
      <c r="J586" s="7"/>
    </row>
    <row r="587" spans="2:10" x14ac:dyDescent="0.15">
      <c r="B587"/>
      <c r="C587"/>
      <c r="D587"/>
      <c r="E587"/>
      <c r="F587" s="7"/>
      <c r="G587" s="7"/>
      <c r="H587" s="7"/>
      <c r="I587" s="7"/>
      <c r="J587" s="7"/>
    </row>
    <row r="588" spans="2:10" x14ac:dyDescent="0.15">
      <c r="B588"/>
      <c r="C588"/>
      <c r="D588"/>
      <c r="E588"/>
      <c r="F588" s="7"/>
      <c r="G588" s="7"/>
      <c r="H588" s="7"/>
      <c r="I588" s="7"/>
      <c r="J588" s="7"/>
    </row>
    <row r="589" spans="2:10" x14ac:dyDescent="0.15">
      <c r="B589"/>
      <c r="C589"/>
      <c r="D589"/>
      <c r="E589"/>
      <c r="F589" s="7"/>
      <c r="G589" s="7"/>
      <c r="H589" s="7"/>
      <c r="I589" s="7"/>
      <c r="J589" s="7"/>
    </row>
    <row r="590" spans="2:10" x14ac:dyDescent="0.15">
      <c r="B590"/>
      <c r="C590"/>
      <c r="D590"/>
      <c r="E590"/>
      <c r="F590" s="7"/>
      <c r="G590" s="7"/>
      <c r="H590" s="7"/>
      <c r="I590" s="7"/>
      <c r="J590" s="7"/>
    </row>
    <row r="591" spans="2:10" x14ac:dyDescent="0.15">
      <c r="B591"/>
      <c r="C591"/>
      <c r="D591"/>
      <c r="E591"/>
      <c r="F591" s="7"/>
      <c r="G591" s="7"/>
      <c r="H591" s="7"/>
      <c r="I591" s="7"/>
      <c r="J591" s="7"/>
    </row>
    <row r="592" spans="2:10" x14ac:dyDescent="0.15">
      <c r="B592"/>
      <c r="C592"/>
      <c r="D592"/>
      <c r="E592"/>
      <c r="F592" s="7"/>
      <c r="G592" s="7"/>
      <c r="H592" s="7"/>
      <c r="I592" s="7"/>
      <c r="J592" s="7"/>
    </row>
    <row r="593" spans="2:10" x14ac:dyDescent="0.15">
      <c r="B593"/>
      <c r="C593"/>
      <c r="D593"/>
      <c r="E593"/>
      <c r="F593" s="7"/>
      <c r="G593" s="7"/>
      <c r="H593" s="7"/>
      <c r="I593" s="7"/>
      <c r="J593" s="7"/>
    </row>
    <row r="594" spans="2:10" x14ac:dyDescent="0.15">
      <c r="B594"/>
      <c r="C594"/>
      <c r="D594"/>
      <c r="E594"/>
      <c r="F594" s="7"/>
      <c r="G594" s="7"/>
      <c r="H594" s="7"/>
      <c r="I594" s="7"/>
      <c r="J594" s="7"/>
    </row>
    <row r="595" spans="2:10" x14ac:dyDescent="0.15">
      <c r="B595"/>
      <c r="C595"/>
      <c r="D595"/>
      <c r="E595"/>
      <c r="F595" s="7"/>
      <c r="G595" s="7"/>
      <c r="H595" s="7"/>
      <c r="I595" s="7"/>
      <c r="J595" s="7"/>
    </row>
    <row r="596" spans="2:10" x14ac:dyDescent="0.15">
      <c r="B596"/>
      <c r="C596"/>
      <c r="D596"/>
      <c r="E596"/>
      <c r="F596" s="7"/>
      <c r="G596" s="7"/>
      <c r="H596" s="7"/>
      <c r="I596" s="7"/>
      <c r="J596" s="7"/>
    </row>
    <row r="597" spans="2:10" x14ac:dyDescent="0.15">
      <c r="B597"/>
      <c r="C597"/>
      <c r="D597"/>
      <c r="E597"/>
      <c r="F597" s="7"/>
      <c r="G597" s="7"/>
      <c r="H597" s="7"/>
      <c r="I597" s="7"/>
      <c r="J597" s="7"/>
    </row>
    <row r="598" spans="2:10" x14ac:dyDescent="0.15">
      <c r="B598"/>
      <c r="C598"/>
      <c r="D598"/>
      <c r="E598"/>
      <c r="F598" s="7"/>
      <c r="G598" s="7"/>
      <c r="H598" s="7"/>
      <c r="I598" s="7"/>
      <c r="J598" s="7"/>
    </row>
    <row r="599" spans="2:10" x14ac:dyDescent="0.15">
      <c r="B599"/>
      <c r="C599"/>
      <c r="D599"/>
      <c r="E599"/>
      <c r="F599" s="7"/>
      <c r="G599" s="7"/>
      <c r="H599" s="7"/>
      <c r="I599" s="7"/>
      <c r="J599" s="7"/>
    </row>
    <row r="600" spans="2:10" x14ac:dyDescent="0.15">
      <c r="B600"/>
      <c r="C600"/>
      <c r="D600"/>
      <c r="E600"/>
      <c r="F600" s="7"/>
      <c r="G600" s="7"/>
      <c r="H600" s="7"/>
      <c r="I600" s="7"/>
      <c r="J600" s="7"/>
    </row>
    <row r="601" spans="2:10" x14ac:dyDescent="0.15">
      <c r="B601"/>
      <c r="C601"/>
      <c r="D601"/>
      <c r="E601"/>
      <c r="F601" s="7"/>
      <c r="G601" s="7"/>
      <c r="H601" s="7"/>
      <c r="I601" s="7"/>
      <c r="J601" s="7"/>
    </row>
    <row r="602" spans="2:10" x14ac:dyDescent="0.15">
      <c r="B602"/>
      <c r="C602"/>
      <c r="D602"/>
      <c r="E602"/>
      <c r="F602" s="7"/>
      <c r="G602" s="7"/>
      <c r="H602" s="7"/>
      <c r="I602" s="7"/>
      <c r="J602" s="7"/>
    </row>
    <row r="603" spans="2:10" x14ac:dyDescent="0.15">
      <c r="B603"/>
      <c r="C603"/>
      <c r="D603"/>
      <c r="E603"/>
      <c r="F603" s="7"/>
      <c r="G603" s="7"/>
      <c r="H603" s="7"/>
      <c r="I603" s="7"/>
      <c r="J603" s="7"/>
    </row>
    <row r="604" spans="2:10" x14ac:dyDescent="0.15">
      <c r="B604"/>
      <c r="C604"/>
      <c r="D604"/>
      <c r="E604"/>
      <c r="F604" s="7"/>
      <c r="G604" s="7"/>
      <c r="H604" s="7"/>
      <c r="I604" s="7"/>
      <c r="J604" s="7"/>
    </row>
    <row r="605" spans="2:10" x14ac:dyDescent="0.15">
      <c r="B605"/>
      <c r="C605"/>
      <c r="D605"/>
      <c r="E605"/>
      <c r="F605" s="7"/>
      <c r="G605" s="7"/>
      <c r="H605" s="7"/>
      <c r="I605" s="7"/>
      <c r="J605" s="7"/>
    </row>
    <row r="606" spans="2:10" x14ac:dyDescent="0.15">
      <c r="B606"/>
      <c r="C606"/>
      <c r="D606"/>
      <c r="E606"/>
      <c r="F606" s="7"/>
      <c r="G606" s="7"/>
      <c r="H606" s="7"/>
      <c r="I606" s="7"/>
      <c r="J606" s="7"/>
    </row>
    <row r="607" spans="2:10" x14ac:dyDescent="0.15">
      <c r="B607"/>
      <c r="C607"/>
      <c r="D607"/>
      <c r="E607"/>
      <c r="F607" s="7"/>
      <c r="G607" s="7"/>
      <c r="H607" s="7"/>
      <c r="I607" s="7"/>
      <c r="J607" s="7"/>
    </row>
    <row r="608" spans="2:10" x14ac:dyDescent="0.15">
      <c r="B608"/>
      <c r="C608"/>
      <c r="D608"/>
      <c r="E608"/>
      <c r="F608" s="7"/>
      <c r="G608" s="7"/>
      <c r="H608" s="7"/>
      <c r="I608" s="7"/>
      <c r="J608" s="7"/>
    </row>
    <row r="609" spans="2:10" x14ac:dyDescent="0.15">
      <c r="B609"/>
      <c r="C609"/>
      <c r="D609"/>
      <c r="E609"/>
      <c r="F609" s="7"/>
      <c r="G609" s="7"/>
      <c r="H609" s="7"/>
      <c r="I609" s="7"/>
      <c r="J609" s="7"/>
    </row>
    <row r="610" spans="2:10" x14ac:dyDescent="0.15">
      <c r="B610"/>
      <c r="C610"/>
      <c r="D610"/>
      <c r="E610"/>
      <c r="F610" s="7"/>
      <c r="G610" s="7"/>
      <c r="H610" s="7"/>
      <c r="I610" s="7"/>
      <c r="J610" s="7"/>
    </row>
    <row r="611" spans="2:10" x14ac:dyDescent="0.15">
      <c r="B611"/>
      <c r="C611"/>
      <c r="D611"/>
      <c r="E611"/>
      <c r="F611" s="7"/>
      <c r="G611" s="7"/>
      <c r="H611" s="7"/>
      <c r="I611" s="7"/>
      <c r="J611" s="7"/>
    </row>
    <row r="612" spans="2:10" x14ac:dyDescent="0.15">
      <c r="B612"/>
      <c r="C612"/>
      <c r="D612"/>
      <c r="E612"/>
      <c r="F612" s="7"/>
      <c r="G612" s="7"/>
      <c r="H612" s="7"/>
      <c r="I612" s="7"/>
      <c r="J612" s="7"/>
    </row>
    <row r="613" spans="2:10" x14ac:dyDescent="0.15">
      <c r="B613"/>
      <c r="C613"/>
      <c r="D613"/>
      <c r="E613"/>
      <c r="F613" s="7"/>
      <c r="G613" s="7"/>
      <c r="H613" s="7"/>
      <c r="I613" s="7"/>
      <c r="J613" s="7"/>
    </row>
    <row r="614" spans="2:10" x14ac:dyDescent="0.15">
      <c r="B614"/>
      <c r="C614"/>
      <c r="D614"/>
      <c r="E614"/>
      <c r="F614" s="7"/>
      <c r="G614" s="7"/>
      <c r="H614" s="7"/>
      <c r="I614" s="7"/>
      <c r="J614" s="7"/>
    </row>
    <row r="615" spans="2:10" x14ac:dyDescent="0.15">
      <c r="B615"/>
      <c r="C615"/>
      <c r="D615"/>
      <c r="E615"/>
      <c r="F615" s="7"/>
      <c r="G615" s="7"/>
      <c r="H615" s="7"/>
      <c r="I615" s="7"/>
      <c r="J615" s="7"/>
    </row>
    <row r="616" spans="2:10" x14ac:dyDescent="0.15">
      <c r="B616"/>
      <c r="C616"/>
      <c r="D616"/>
      <c r="E616"/>
      <c r="F616" s="7"/>
      <c r="G616" s="7"/>
      <c r="H616" s="7"/>
      <c r="I616" s="7"/>
      <c r="J616" s="7"/>
    </row>
    <row r="617" spans="2:10" x14ac:dyDescent="0.15">
      <c r="B617"/>
      <c r="C617"/>
      <c r="D617"/>
      <c r="E617"/>
      <c r="F617" s="7"/>
      <c r="G617" s="7"/>
      <c r="H617" s="7"/>
      <c r="I617" s="7"/>
      <c r="J617" s="7"/>
    </row>
    <row r="618" spans="2:10" x14ac:dyDescent="0.15">
      <c r="B618"/>
      <c r="C618"/>
      <c r="D618"/>
      <c r="E618"/>
      <c r="F618" s="7"/>
      <c r="G618" s="7"/>
      <c r="H618" s="7"/>
      <c r="I618" s="7"/>
      <c r="J618" s="7"/>
    </row>
    <row r="619" spans="2:10" x14ac:dyDescent="0.15">
      <c r="B619"/>
      <c r="C619"/>
      <c r="D619"/>
      <c r="E619"/>
      <c r="F619" s="7"/>
      <c r="G619" s="7"/>
      <c r="H619" s="7"/>
      <c r="I619" s="7"/>
      <c r="J619" s="7"/>
    </row>
    <row r="620" spans="2:10" x14ac:dyDescent="0.15">
      <c r="B620"/>
      <c r="C620"/>
      <c r="D620"/>
      <c r="E620"/>
      <c r="F620" s="7"/>
      <c r="G620" s="7"/>
      <c r="H620" s="7"/>
      <c r="I620" s="7"/>
      <c r="J620" s="7"/>
    </row>
    <row r="621" spans="2:10" x14ac:dyDescent="0.15">
      <c r="B621"/>
      <c r="C621"/>
      <c r="D621"/>
      <c r="E621"/>
      <c r="F621" s="7"/>
      <c r="G621" s="7"/>
      <c r="H621" s="7"/>
      <c r="I621" s="7"/>
      <c r="J621" s="7"/>
    </row>
    <row r="622" spans="2:10" x14ac:dyDescent="0.15">
      <c r="B622"/>
      <c r="C622"/>
      <c r="D622"/>
      <c r="E622"/>
      <c r="F622" s="7"/>
      <c r="G622" s="7"/>
      <c r="H622" s="7"/>
      <c r="I622" s="7"/>
      <c r="J622" s="7"/>
    </row>
    <row r="623" spans="2:10" x14ac:dyDescent="0.15">
      <c r="B623"/>
      <c r="C623"/>
      <c r="D623"/>
      <c r="E623"/>
      <c r="F623" s="7"/>
      <c r="G623" s="7"/>
      <c r="H623" s="7"/>
      <c r="I623" s="7"/>
      <c r="J623" s="7"/>
    </row>
    <row r="624" spans="2:10" x14ac:dyDescent="0.15">
      <c r="B624"/>
      <c r="C624"/>
      <c r="D624"/>
      <c r="E624"/>
      <c r="F624" s="7"/>
      <c r="G624" s="7"/>
      <c r="H624" s="7"/>
      <c r="I624" s="7"/>
      <c r="J624" s="7"/>
    </row>
    <row r="625" spans="2:10" x14ac:dyDescent="0.15">
      <c r="B625"/>
      <c r="C625"/>
      <c r="D625"/>
      <c r="E625"/>
      <c r="F625" s="7"/>
      <c r="G625" s="7"/>
      <c r="H625" s="7"/>
      <c r="I625" s="7"/>
      <c r="J625" s="7"/>
    </row>
    <row r="626" spans="2:10" x14ac:dyDescent="0.15">
      <c r="B626"/>
      <c r="C626"/>
      <c r="D626"/>
      <c r="E626"/>
      <c r="F626" s="7"/>
      <c r="G626" s="7"/>
      <c r="H626" s="7"/>
      <c r="I626" s="7"/>
      <c r="J626" s="7"/>
    </row>
    <row r="627" spans="2:10" x14ac:dyDescent="0.15">
      <c r="B627"/>
      <c r="C627"/>
      <c r="D627"/>
      <c r="E627"/>
      <c r="F627" s="7"/>
      <c r="G627" s="7"/>
      <c r="H627" s="7"/>
      <c r="I627" s="7"/>
      <c r="J627" s="7"/>
    </row>
    <row r="628" spans="2:10" x14ac:dyDescent="0.15">
      <c r="B628"/>
      <c r="C628"/>
      <c r="D628"/>
      <c r="E628"/>
      <c r="F628" s="7"/>
      <c r="G628" s="7"/>
      <c r="H628" s="7"/>
      <c r="I628" s="7"/>
      <c r="J628" s="7"/>
    </row>
    <row r="629" spans="2:10" x14ac:dyDescent="0.15">
      <c r="B629"/>
      <c r="C629"/>
      <c r="D629"/>
      <c r="E629"/>
      <c r="F629" s="7"/>
      <c r="G629" s="7"/>
      <c r="H629" s="7"/>
      <c r="I629" s="7"/>
      <c r="J629" s="7"/>
    </row>
    <row r="630" spans="2:10" x14ac:dyDescent="0.15">
      <c r="B630"/>
      <c r="C630"/>
      <c r="D630"/>
      <c r="E630"/>
      <c r="F630" s="7"/>
      <c r="G630" s="7"/>
      <c r="H630" s="7"/>
      <c r="I630" s="7"/>
      <c r="J630" s="7"/>
    </row>
    <row r="631" spans="2:10" x14ac:dyDescent="0.15">
      <c r="B631"/>
      <c r="C631"/>
      <c r="D631"/>
      <c r="E631"/>
      <c r="F631" s="7"/>
      <c r="G631" s="7"/>
      <c r="H631" s="7"/>
      <c r="I631" s="7"/>
      <c r="J631" s="7"/>
    </row>
    <row r="632" spans="2:10" x14ac:dyDescent="0.15">
      <c r="B632"/>
      <c r="C632"/>
      <c r="D632"/>
      <c r="E632"/>
      <c r="F632" s="7"/>
      <c r="G632" s="7"/>
      <c r="H632" s="7"/>
      <c r="I632" s="7"/>
      <c r="J632" s="7"/>
    </row>
    <row r="633" spans="2:10" x14ac:dyDescent="0.15">
      <c r="B633"/>
      <c r="C633"/>
      <c r="D633"/>
      <c r="E633"/>
      <c r="F633" s="7"/>
      <c r="G633" s="7"/>
      <c r="H633" s="7"/>
      <c r="I633" s="7"/>
      <c r="J633" s="7"/>
    </row>
    <row r="634" spans="2:10" x14ac:dyDescent="0.15">
      <c r="B634"/>
      <c r="C634"/>
      <c r="D634"/>
      <c r="E634"/>
      <c r="F634" s="7"/>
      <c r="G634" s="7"/>
      <c r="H634" s="7"/>
      <c r="I634" s="7"/>
      <c r="J634" s="7"/>
    </row>
    <row r="635" spans="2:10" x14ac:dyDescent="0.15">
      <c r="B635"/>
      <c r="C635"/>
      <c r="D635"/>
      <c r="E635"/>
      <c r="F635" s="7"/>
      <c r="G635" s="7"/>
      <c r="H635" s="7"/>
      <c r="I635" s="7"/>
      <c r="J635" s="7"/>
    </row>
    <row r="636" spans="2:10" x14ac:dyDescent="0.15">
      <c r="B636"/>
      <c r="C636"/>
      <c r="D636"/>
      <c r="E636"/>
      <c r="F636" s="7"/>
      <c r="G636" s="7"/>
      <c r="H636" s="7"/>
      <c r="I636" s="7"/>
      <c r="J636" s="7"/>
    </row>
    <row r="637" spans="2:10" x14ac:dyDescent="0.15">
      <c r="B637"/>
      <c r="C637"/>
      <c r="D637"/>
      <c r="E637"/>
      <c r="F637" s="7"/>
      <c r="G637" s="7"/>
      <c r="H637" s="7"/>
      <c r="I637" s="7"/>
      <c r="J637" s="7"/>
    </row>
    <row r="638" spans="2:10" x14ac:dyDescent="0.15">
      <c r="B638"/>
      <c r="C638"/>
      <c r="D638"/>
      <c r="E638"/>
      <c r="F638" s="7"/>
      <c r="G638" s="7"/>
      <c r="H638" s="7"/>
      <c r="I638" s="7"/>
      <c r="J638" s="7"/>
    </row>
    <row r="639" spans="2:10" x14ac:dyDescent="0.15">
      <c r="B639"/>
      <c r="C639"/>
      <c r="D639"/>
      <c r="E639"/>
      <c r="F639" s="7"/>
      <c r="G639" s="7"/>
      <c r="H639" s="7"/>
      <c r="I639" s="7"/>
      <c r="J639" s="7"/>
    </row>
    <row r="640" spans="2:10" x14ac:dyDescent="0.15">
      <c r="B640"/>
      <c r="C640"/>
      <c r="D640"/>
      <c r="E640"/>
      <c r="F640" s="7"/>
      <c r="G640" s="7"/>
      <c r="H640" s="7"/>
      <c r="I640" s="7"/>
      <c r="J640" s="7"/>
    </row>
    <row r="641" spans="2:10" x14ac:dyDescent="0.15">
      <c r="B641"/>
      <c r="C641"/>
      <c r="D641"/>
      <c r="E641"/>
      <c r="F641" s="7"/>
      <c r="G641" s="7"/>
      <c r="H641" s="7"/>
      <c r="I641" s="7"/>
      <c r="J641" s="7"/>
    </row>
    <row r="642" spans="2:10" x14ac:dyDescent="0.15">
      <c r="B642"/>
      <c r="C642"/>
      <c r="D642"/>
      <c r="E642"/>
      <c r="F642" s="7"/>
      <c r="G642" s="7"/>
      <c r="H642" s="7"/>
      <c r="I642" s="7"/>
      <c r="J642" s="7"/>
    </row>
    <row r="643" spans="2:10" x14ac:dyDescent="0.15">
      <c r="B643"/>
      <c r="C643"/>
      <c r="D643"/>
      <c r="E643"/>
      <c r="F643" s="7"/>
      <c r="G643" s="7"/>
      <c r="H643" s="7"/>
      <c r="I643" s="7"/>
      <c r="J643" s="7"/>
    </row>
    <row r="644" spans="2:10" x14ac:dyDescent="0.15">
      <c r="B644"/>
      <c r="C644"/>
      <c r="D644"/>
      <c r="E644"/>
      <c r="F644" s="7"/>
      <c r="G644" s="7"/>
      <c r="H644" s="7"/>
      <c r="I644" s="7"/>
      <c r="J644" s="7"/>
    </row>
    <row r="645" spans="2:10" x14ac:dyDescent="0.15">
      <c r="B645"/>
      <c r="C645"/>
      <c r="D645"/>
      <c r="E645"/>
      <c r="F645" s="7"/>
      <c r="G645" s="7"/>
      <c r="H645" s="7"/>
      <c r="I645" s="7"/>
      <c r="J645" s="7"/>
    </row>
    <row r="646" spans="2:10" x14ac:dyDescent="0.15">
      <c r="B646"/>
      <c r="C646"/>
      <c r="D646"/>
      <c r="E646"/>
      <c r="F646" s="7"/>
      <c r="G646" s="7"/>
      <c r="H646" s="7"/>
      <c r="I646" s="7"/>
      <c r="J646" s="7"/>
    </row>
    <row r="647" spans="2:10" x14ac:dyDescent="0.15">
      <c r="B647"/>
      <c r="C647"/>
      <c r="D647"/>
      <c r="E647"/>
      <c r="F647" s="7"/>
      <c r="G647" s="7"/>
      <c r="H647" s="7"/>
      <c r="I647" s="7"/>
      <c r="J647" s="7"/>
    </row>
    <row r="648" spans="2:10" x14ac:dyDescent="0.15">
      <c r="B648"/>
      <c r="C648"/>
      <c r="D648"/>
      <c r="E648"/>
      <c r="F648" s="7"/>
      <c r="G648" s="7"/>
      <c r="H648" s="7"/>
      <c r="I648" s="7"/>
      <c r="J648" s="7"/>
    </row>
    <row r="649" spans="2:10" x14ac:dyDescent="0.15">
      <c r="B649"/>
      <c r="C649"/>
      <c r="D649"/>
      <c r="E649"/>
      <c r="F649" s="7"/>
      <c r="G649" s="7"/>
      <c r="H649" s="7"/>
      <c r="I649" s="7"/>
      <c r="J649" s="7"/>
    </row>
    <row r="650" spans="2:10" x14ac:dyDescent="0.15">
      <c r="B650"/>
      <c r="C650"/>
      <c r="D650"/>
      <c r="E650"/>
      <c r="F650" s="7"/>
      <c r="G650" s="7"/>
      <c r="H650" s="7"/>
      <c r="I650" s="7"/>
      <c r="J650" s="7"/>
    </row>
    <row r="651" spans="2:10" x14ac:dyDescent="0.15">
      <c r="B651"/>
      <c r="C651"/>
      <c r="D651"/>
      <c r="E651"/>
      <c r="F651" s="7"/>
      <c r="G651" s="7"/>
      <c r="H651" s="7"/>
      <c r="I651" s="7"/>
      <c r="J651" s="7"/>
    </row>
    <row r="652" spans="2:10" x14ac:dyDescent="0.15">
      <c r="B652"/>
      <c r="C652"/>
      <c r="D652"/>
      <c r="E652"/>
      <c r="F652" s="7"/>
      <c r="G652" s="7"/>
      <c r="H652" s="7"/>
      <c r="I652" s="7"/>
      <c r="J652" s="7"/>
    </row>
    <row r="653" spans="2:10" x14ac:dyDescent="0.15">
      <c r="B653"/>
      <c r="C653"/>
      <c r="D653"/>
      <c r="E653"/>
      <c r="F653" s="7"/>
      <c r="G653" s="7"/>
      <c r="H653" s="7"/>
      <c r="I653" s="7"/>
      <c r="J653" s="7"/>
    </row>
    <row r="654" spans="2:10" x14ac:dyDescent="0.15">
      <c r="B654"/>
      <c r="C654"/>
      <c r="D654"/>
      <c r="E654"/>
      <c r="F654" s="7"/>
      <c r="G654" s="7"/>
      <c r="H654" s="7"/>
      <c r="I654" s="7"/>
      <c r="J654" s="7"/>
    </row>
    <row r="655" spans="2:10" x14ac:dyDescent="0.15">
      <c r="B655"/>
      <c r="C655"/>
      <c r="D655"/>
      <c r="E655"/>
      <c r="F655" s="7"/>
      <c r="G655" s="7"/>
      <c r="H655" s="7"/>
      <c r="I655" s="7"/>
      <c r="J655" s="7"/>
    </row>
    <row r="656" spans="2:10" x14ac:dyDescent="0.15">
      <c r="B656"/>
      <c r="C656"/>
      <c r="D656"/>
      <c r="E656"/>
      <c r="F656" s="7"/>
      <c r="G656" s="7"/>
      <c r="H656" s="7"/>
      <c r="I656" s="7"/>
      <c r="J656" s="7"/>
    </row>
    <row r="657" spans="2:10" x14ac:dyDescent="0.15">
      <c r="B657"/>
      <c r="C657"/>
      <c r="D657"/>
      <c r="E657"/>
      <c r="F657" s="7"/>
      <c r="G657" s="7"/>
      <c r="H657" s="7"/>
      <c r="I657" s="7"/>
      <c r="J657" s="7"/>
    </row>
    <row r="658" spans="2:10" x14ac:dyDescent="0.15">
      <c r="B658"/>
      <c r="C658"/>
      <c r="D658"/>
      <c r="E658"/>
      <c r="F658" s="7"/>
      <c r="G658" s="7"/>
      <c r="H658" s="7"/>
      <c r="I658" s="7"/>
      <c r="J658" s="7"/>
    </row>
    <row r="659" spans="2:10" x14ac:dyDescent="0.15">
      <c r="B659"/>
      <c r="C659"/>
      <c r="D659"/>
      <c r="E659"/>
      <c r="F659" s="7"/>
      <c r="G659" s="7"/>
      <c r="H659" s="7"/>
      <c r="I659" s="7"/>
      <c r="J659" s="7"/>
    </row>
    <row r="660" spans="2:10" x14ac:dyDescent="0.15">
      <c r="B660"/>
      <c r="C660"/>
      <c r="D660"/>
      <c r="E660"/>
      <c r="F660" s="7"/>
      <c r="G660" s="7"/>
      <c r="H660" s="7"/>
      <c r="I660" s="7"/>
      <c r="J660" s="7"/>
    </row>
    <row r="661" spans="2:10" x14ac:dyDescent="0.15">
      <c r="B661"/>
      <c r="C661"/>
      <c r="D661"/>
      <c r="E661"/>
      <c r="F661" s="7"/>
      <c r="G661" s="7"/>
      <c r="H661" s="7"/>
      <c r="I661" s="7"/>
      <c r="J661" s="7"/>
    </row>
    <row r="662" spans="2:10" x14ac:dyDescent="0.15">
      <c r="B662"/>
      <c r="C662"/>
      <c r="D662"/>
      <c r="E662"/>
      <c r="F662" s="7"/>
      <c r="G662" s="7"/>
      <c r="H662" s="7"/>
      <c r="I662" s="7"/>
      <c r="J662" s="7"/>
    </row>
    <row r="663" spans="2:10" x14ac:dyDescent="0.15">
      <c r="B663"/>
      <c r="C663"/>
      <c r="D663"/>
      <c r="E663"/>
      <c r="F663" s="7"/>
      <c r="G663" s="7"/>
      <c r="H663" s="7"/>
      <c r="I663" s="7"/>
      <c r="J663" s="7"/>
    </row>
    <row r="664" spans="2:10" x14ac:dyDescent="0.15">
      <c r="B664"/>
      <c r="C664"/>
      <c r="D664"/>
      <c r="E664"/>
      <c r="F664" s="7"/>
      <c r="G664" s="7"/>
      <c r="H664" s="7"/>
      <c r="I664" s="7"/>
      <c r="J664" s="7"/>
    </row>
    <row r="665" spans="2:10" x14ac:dyDescent="0.15">
      <c r="B665"/>
      <c r="C665"/>
      <c r="D665"/>
      <c r="E665"/>
      <c r="F665" s="7"/>
      <c r="G665" s="7"/>
      <c r="H665" s="7"/>
      <c r="I665" s="7"/>
      <c r="J665" s="7"/>
    </row>
    <row r="666" spans="2:10" x14ac:dyDescent="0.15">
      <c r="B666"/>
      <c r="C666"/>
      <c r="D666"/>
      <c r="E666"/>
      <c r="F666" s="7"/>
      <c r="G666" s="7"/>
      <c r="H666" s="7"/>
      <c r="I666" s="7"/>
      <c r="J666" s="7"/>
    </row>
    <row r="667" spans="2:10" x14ac:dyDescent="0.15">
      <c r="B667"/>
      <c r="C667"/>
      <c r="D667"/>
      <c r="E667"/>
      <c r="F667" s="7"/>
      <c r="G667" s="7"/>
      <c r="H667" s="7"/>
      <c r="I667" s="7"/>
      <c r="J667" s="7"/>
    </row>
    <row r="668" spans="2:10" x14ac:dyDescent="0.15">
      <c r="B668"/>
      <c r="C668"/>
      <c r="D668"/>
      <c r="E668"/>
      <c r="F668" s="7"/>
      <c r="G668" s="7"/>
      <c r="H668" s="7"/>
      <c r="I668" s="7"/>
      <c r="J668" s="7"/>
    </row>
    <row r="669" spans="2:10" x14ac:dyDescent="0.15">
      <c r="B669"/>
      <c r="C669"/>
      <c r="D669"/>
      <c r="E669"/>
      <c r="F669" s="7"/>
      <c r="G669" s="7"/>
      <c r="H669" s="7"/>
      <c r="I669" s="7"/>
      <c r="J669" s="7"/>
    </row>
    <row r="670" spans="2:10" x14ac:dyDescent="0.15">
      <c r="B670"/>
      <c r="C670"/>
      <c r="D670"/>
      <c r="E670"/>
      <c r="F670" s="7"/>
      <c r="G670" s="7"/>
      <c r="H670" s="7"/>
      <c r="I670" s="7"/>
      <c r="J670" s="7"/>
    </row>
    <row r="671" spans="2:10" x14ac:dyDescent="0.15">
      <c r="B671"/>
      <c r="C671"/>
      <c r="D671"/>
      <c r="E671"/>
      <c r="F671" s="7"/>
      <c r="G671" s="7"/>
      <c r="H671" s="7"/>
      <c r="I671" s="7"/>
      <c r="J671" s="7"/>
    </row>
    <row r="672" spans="2:10" x14ac:dyDescent="0.15">
      <c r="B672"/>
      <c r="C672"/>
      <c r="D672"/>
      <c r="E672"/>
      <c r="F672" s="7"/>
      <c r="G672" s="7"/>
      <c r="H672" s="7"/>
      <c r="I672" s="7"/>
      <c r="J672" s="7"/>
    </row>
    <row r="673" spans="2:10" x14ac:dyDescent="0.15">
      <c r="B673"/>
      <c r="C673"/>
      <c r="D673"/>
      <c r="E673"/>
      <c r="F673" s="7"/>
      <c r="G673" s="7"/>
      <c r="H673" s="7"/>
      <c r="I673" s="7"/>
      <c r="J673" s="7"/>
    </row>
    <row r="674" spans="2:10" x14ac:dyDescent="0.15">
      <c r="B674"/>
      <c r="C674"/>
      <c r="D674"/>
      <c r="E674"/>
      <c r="F674" s="7"/>
      <c r="G674" s="7"/>
      <c r="H674" s="7"/>
      <c r="I674" s="7"/>
      <c r="J674" s="7"/>
    </row>
    <row r="675" spans="2:10" x14ac:dyDescent="0.15">
      <c r="B675"/>
      <c r="C675"/>
      <c r="D675"/>
      <c r="E675"/>
      <c r="F675" s="7"/>
      <c r="G675" s="7"/>
      <c r="H675" s="7"/>
      <c r="I675" s="7"/>
      <c r="J675" s="7"/>
    </row>
    <row r="676" spans="2:10" x14ac:dyDescent="0.15">
      <c r="B676"/>
      <c r="C676"/>
      <c r="D676"/>
      <c r="E676"/>
      <c r="F676" s="7"/>
      <c r="G676" s="7"/>
      <c r="H676" s="7"/>
      <c r="I676" s="7"/>
      <c r="J676" s="7"/>
    </row>
    <row r="677" spans="2:10" x14ac:dyDescent="0.15">
      <c r="B677"/>
      <c r="C677"/>
      <c r="D677"/>
      <c r="E677"/>
      <c r="F677" s="7"/>
      <c r="G677" s="7"/>
      <c r="H677" s="7"/>
      <c r="I677" s="7"/>
      <c r="J677" s="7"/>
    </row>
    <row r="678" spans="2:10" x14ac:dyDescent="0.15">
      <c r="B678"/>
      <c r="C678"/>
      <c r="D678"/>
      <c r="E678"/>
      <c r="F678" s="7"/>
      <c r="G678" s="7"/>
      <c r="H678" s="7"/>
      <c r="I678" s="7"/>
      <c r="J678" s="7"/>
    </row>
    <row r="679" spans="2:10" x14ac:dyDescent="0.15">
      <c r="B679"/>
      <c r="C679"/>
      <c r="D679"/>
      <c r="E679"/>
      <c r="F679" s="7"/>
      <c r="G679" s="7"/>
      <c r="H679" s="7"/>
      <c r="I679" s="7"/>
      <c r="J679" s="7"/>
    </row>
    <row r="680" spans="2:10" x14ac:dyDescent="0.15">
      <c r="B680"/>
      <c r="C680"/>
      <c r="D680"/>
      <c r="E680"/>
      <c r="F680" s="7"/>
      <c r="G680" s="7"/>
      <c r="H680" s="7"/>
      <c r="I680" s="7"/>
      <c r="J680" s="7"/>
    </row>
    <row r="681" spans="2:10" x14ac:dyDescent="0.15">
      <c r="B681"/>
      <c r="C681"/>
      <c r="D681"/>
      <c r="E681"/>
      <c r="F681" s="7"/>
      <c r="G681" s="7"/>
      <c r="H681" s="7"/>
      <c r="I681" s="7"/>
      <c r="J681" s="7"/>
    </row>
    <row r="682" spans="2:10" x14ac:dyDescent="0.15">
      <c r="B682"/>
      <c r="C682"/>
      <c r="D682"/>
      <c r="E682"/>
      <c r="F682" s="7"/>
      <c r="G682" s="7"/>
      <c r="H682" s="7"/>
      <c r="I682" s="7"/>
      <c r="J682" s="7"/>
    </row>
    <row r="683" spans="2:10" x14ac:dyDescent="0.15">
      <c r="B683"/>
      <c r="C683"/>
      <c r="D683"/>
      <c r="E683"/>
      <c r="F683" s="7"/>
      <c r="G683" s="7"/>
      <c r="H683" s="7"/>
      <c r="I683" s="7"/>
      <c r="J683" s="7"/>
    </row>
    <row r="684" spans="2:10" x14ac:dyDescent="0.15">
      <c r="B684"/>
      <c r="C684"/>
      <c r="D684"/>
      <c r="E684"/>
      <c r="F684" s="7"/>
      <c r="G684" s="7"/>
      <c r="H684" s="7"/>
      <c r="I684" s="7"/>
      <c r="J684" s="7"/>
    </row>
    <row r="685" spans="2:10" x14ac:dyDescent="0.15">
      <c r="B685"/>
      <c r="C685"/>
      <c r="D685"/>
      <c r="E685"/>
      <c r="F685" s="7"/>
      <c r="G685" s="7"/>
      <c r="H685" s="7"/>
      <c r="I685" s="7"/>
      <c r="J685" s="7"/>
    </row>
    <row r="686" spans="2:10" x14ac:dyDescent="0.15">
      <c r="B686"/>
      <c r="C686"/>
      <c r="D686"/>
      <c r="E686"/>
      <c r="F686" s="7"/>
      <c r="G686" s="7"/>
      <c r="H686" s="7"/>
      <c r="I686" s="7"/>
      <c r="J686" s="7"/>
    </row>
    <row r="687" spans="2:10" x14ac:dyDescent="0.15">
      <c r="B687"/>
      <c r="C687"/>
      <c r="D687"/>
      <c r="E687"/>
      <c r="F687" s="7"/>
      <c r="G687" s="7"/>
      <c r="H687" s="7"/>
      <c r="I687" s="7"/>
      <c r="J687" s="7"/>
    </row>
    <row r="688" spans="2:10" x14ac:dyDescent="0.15">
      <c r="B688"/>
      <c r="C688"/>
      <c r="D688"/>
      <c r="E688"/>
      <c r="F688" s="7"/>
      <c r="G688" s="7"/>
      <c r="H688" s="7"/>
      <c r="I688" s="7"/>
      <c r="J688" s="7"/>
    </row>
    <row r="689" spans="2:10" x14ac:dyDescent="0.15">
      <c r="B689"/>
      <c r="C689"/>
      <c r="D689"/>
      <c r="E689"/>
      <c r="F689" s="7"/>
      <c r="G689" s="7"/>
      <c r="H689" s="7"/>
      <c r="I689" s="7"/>
      <c r="J689" s="7"/>
    </row>
    <row r="690" spans="2:10" x14ac:dyDescent="0.15">
      <c r="B690"/>
      <c r="C690"/>
      <c r="D690"/>
      <c r="E690"/>
      <c r="F690" s="7"/>
      <c r="G690" s="7"/>
      <c r="H690" s="7"/>
      <c r="I690" s="7"/>
      <c r="J690" s="7"/>
    </row>
    <row r="691" spans="2:10" x14ac:dyDescent="0.15">
      <c r="B691"/>
      <c r="C691"/>
      <c r="D691"/>
      <c r="E691"/>
      <c r="F691" s="7"/>
      <c r="G691" s="7"/>
      <c r="H691" s="7"/>
      <c r="I691" s="7"/>
      <c r="J691" s="7"/>
    </row>
    <row r="692" spans="2:10" x14ac:dyDescent="0.15">
      <c r="B692"/>
      <c r="C692"/>
      <c r="D692"/>
      <c r="E692"/>
      <c r="F692" s="7"/>
      <c r="G692" s="7"/>
      <c r="H692" s="7"/>
      <c r="I692" s="7"/>
      <c r="J692" s="7"/>
    </row>
    <row r="693" spans="2:10" x14ac:dyDescent="0.15">
      <c r="B693"/>
      <c r="C693"/>
      <c r="D693"/>
      <c r="E693"/>
      <c r="F693" s="7"/>
      <c r="G693" s="7"/>
      <c r="H693" s="7"/>
      <c r="I693" s="7"/>
      <c r="J693" s="7"/>
    </row>
    <row r="694" spans="2:10" x14ac:dyDescent="0.15">
      <c r="B694"/>
      <c r="C694"/>
      <c r="D694"/>
      <c r="E694"/>
      <c r="F694" s="7"/>
      <c r="G694" s="7"/>
      <c r="H694" s="7"/>
      <c r="I694" s="7"/>
      <c r="J694" s="7"/>
    </row>
    <row r="695" spans="2:10" x14ac:dyDescent="0.15">
      <c r="B695"/>
      <c r="C695"/>
      <c r="D695"/>
      <c r="E695"/>
      <c r="F695" s="7"/>
      <c r="G695" s="7"/>
      <c r="H695" s="7"/>
      <c r="I695" s="7"/>
      <c r="J695" s="7"/>
    </row>
    <row r="696" spans="2:10" x14ac:dyDescent="0.15">
      <c r="B696"/>
      <c r="C696"/>
      <c r="D696"/>
      <c r="E696"/>
      <c r="F696" s="7"/>
      <c r="G696" s="7"/>
      <c r="H696" s="7"/>
      <c r="I696" s="7"/>
      <c r="J696" s="7"/>
    </row>
    <row r="697" spans="2:10" x14ac:dyDescent="0.15">
      <c r="B697"/>
      <c r="C697"/>
      <c r="D697"/>
      <c r="E697"/>
      <c r="F697" s="7"/>
      <c r="G697" s="7"/>
      <c r="H697" s="7"/>
      <c r="I697" s="7"/>
      <c r="J697" s="7"/>
    </row>
    <row r="698" spans="2:10" x14ac:dyDescent="0.15">
      <c r="B698"/>
      <c r="C698"/>
      <c r="D698"/>
      <c r="E698"/>
      <c r="F698" s="7"/>
      <c r="G698" s="7"/>
      <c r="H698" s="7"/>
      <c r="I698" s="7"/>
      <c r="J698" s="7"/>
    </row>
    <row r="699" spans="2:10" x14ac:dyDescent="0.15">
      <c r="B699"/>
      <c r="C699"/>
      <c r="D699"/>
      <c r="E699"/>
      <c r="F699" s="7"/>
      <c r="G699" s="7"/>
      <c r="H699" s="7"/>
      <c r="I699" s="7"/>
      <c r="J699" s="7"/>
    </row>
    <row r="700" spans="2:10" x14ac:dyDescent="0.15">
      <c r="B700"/>
      <c r="C700"/>
      <c r="D700"/>
      <c r="E700"/>
      <c r="F700" s="7"/>
      <c r="G700" s="7"/>
      <c r="H700" s="7"/>
      <c r="I700" s="7"/>
      <c r="J700" s="7"/>
    </row>
    <row r="701" spans="2:10" x14ac:dyDescent="0.15">
      <c r="B701"/>
      <c r="C701"/>
      <c r="D701"/>
      <c r="E701"/>
      <c r="F701" s="7"/>
      <c r="G701" s="7"/>
      <c r="H701" s="7"/>
      <c r="I701" s="7"/>
      <c r="J701" s="7"/>
    </row>
    <row r="702" spans="2:10" x14ac:dyDescent="0.15">
      <c r="B702"/>
      <c r="C702"/>
      <c r="D702"/>
      <c r="E702"/>
      <c r="F702" s="7"/>
      <c r="G702" s="7"/>
      <c r="H702" s="7"/>
      <c r="I702" s="7"/>
      <c r="J702" s="7"/>
    </row>
    <row r="703" spans="2:10" x14ac:dyDescent="0.15">
      <c r="B703"/>
      <c r="C703"/>
      <c r="D703"/>
      <c r="E703"/>
      <c r="F703" s="7"/>
      <c r="G703" s="7"/>
      <c r="H703" s="7"/>
      <c r="I703" s="7"/>
      <c r="J703" s="7"/>
    </row>
    <row r="704" spans="2:10" x14ac:dyDescent="0.15">
      <c r="B704"/>
      <c r="C704"/>
      <c r="D704"/>
      <c r="E704"/>
      <c r="F704" s="7"/>
      <c r="G704" s="7"/>
      <c r="H704" s="7"/>
      <c r="I704" s="7"/>
      <c r="J704" s="7"/>
    </row>
    <row r="705" spans="2:10" x14ac:dyDescent="0.15">
      <c r="B705"/>
      <c r="C705"/>
      <c r="D705"/>
      <c r="E705"/>
      <c r="F705" s="7"/>
      <c r="G705" s="7"/>
      <c r="H705" s="7"/>
      <c r="I705" s="7"/>
      <c r="J705" s="7"/>
    </row>
    <row r="706" spans="2:10" x14ac:dyDescent="0.15">
      <c r="B706"/>
      <c r="C706"/>
      <c r="D706"/>
      <c r="E706"/>
      <c r="F706" s="7"/>
      <c r="G706" s="7"/>
      <c r="H706" s="7"/>
      <c r="I706" s="7"/>
      <c r="J706" s="7"/>
    </row>
    <row r="707" spans="2:10" x14ac:dyDescent="0.15">
      <c r="B707"/>
      <c r="C707"/>
      <c r="D707"/>
      <c r="E707"/>
      <c r="F707" s="7"/>
      <c r="G707" s="7"/>
      <c r="H707" s="7"/>
      <c r="I707" s="7"/>
      <c r="J707" s="7"/>
    </row>
    <row r="708" spans="2:10" x14ac:dyDescent="0.15">
      <c r="B708"/>
      <c r="C708"/>
      <c r="D708"/>
      <c r="E708"/>
      <c r="F708" s="7"/>
      <c r="G708" s="7"/>
      <c r="H708" s="7"/>
      <c r="I708" s="7"/>
      <c r="J708" s="7"/>
    </row>
    <row r="709" spans="2:10" x14ac:dyDescent="0.15">
      <c r="B709"/>
      <c r="C709"/>
      <c r="D709"/>
      <c r="E709"/>
      <c r="F709" s="7"/>
      <c r="G709" s="7"/>
      <c r="H709" s="7"/>
      <c r="I709" s="7"/>
      <c r="J709" s="7"/>
    </row>
    <row r="710" spans="2:10" x14ac:dyDescent="0.15">
      <c r="B710"/>
      <c r="C710"/>
      <c r="D710"/>
      <c r="E710"/>
      <c r="F710" s="7"/>
      <c r="G710" s="7"/>
      <c r="H710" s="7"/>
      <c r="I710" s="7"/>
      <c r="J710" s="7"/>
    </row>
    <row r="711" spans="2:10" x14ac:dyDescent="0.15">
      <c r="B711"/>
      <c r="C711"/>
      <c r="D711"/>
      <c r="E711"/>
      <c r="F711" s="7"/>
      <c r="G711" s="7"/>
      <c r="H711" s="7"/>
      <c r="I711" s="7"/>
      <c r="J711" s="7"/>
    </row>
    <row r="712" spans="2:10" x14ac:dyDescent="0.15">
      <c r="B712"/>
      <c r="C712"/>
      <c r="D712"/>
      <c r="E712"/>
      <c r="F712" s="7"/>
      <c r="G712" s="7"/>
      <c r="H712" s="7"/>
      <c r="I712" s="7"/>
      <c r="J712" s="7"/>
    </row>
    <row r="713" spans="2:10" x14ac:dyDescent="0.15">
      <c r="B713"/>
      <c r="C713"/>
      <c r="D713"/>
      <c r="E713"/>
      <c r="F713" s="7"/>
      <c r="G713" s="7"/>
      <c r="H713" s="7"/>
      <c r="I713" s="7"/>
      <c r="J713" s="7"/>
    </row>
    <row r="714" spans="2:10" x14ac:dyDescent="0.15">
      <c r="B714"/>
      <c r="C714"/>
      <c r="D714"/>
      <c r="E714"/>
      <c r="F714" s="7"/>
      <c r="G714" s="7"/>
      <c r="H714" s="7"/>
      <c r="I714" s="7"/>
      <c r="J714" s="7"/>
    </row>
    <row r="715" spans="2:10" x14ac:dyDescent="0.15">
      <c r="B715"/>
      <c r="C715"/>
      <c r="D715"/>
      <c r="E715"/>
      <c r="F715" s="7"/>
      <c r="G715" s="7"/>
      <c r="H715" s="7"/>
      <c r="I715" s="7"/>
      <c r="J715" s="7"/>
    </row>
    <row r="716" spans="2:10" x14ac:dyDescent="0.15">
      <c r="B716"/>
      <c r="C716"/>
      <c r="D716"/>
      <c r="E716"/>
      <c r="F716" s="7"/>
      <c r="G716" s="7"/>
      <c r="H716" s="7"/>
      <c r="I716" s="7"/>
      <c r="J716" s="7"/>
    </row>
    <row r="717" spans="2:10" x14ac:dyDescent="0.15">
      <c r="B717"/>
      <c r="C717"/>
      <c r="D717"/>
      <c r="E717"/>
      <c r="F717" s="7"/>
      <c r="G717" s="7"/>
      <c r="H717" s="7"/>
      <c r="I717" s="7"/>
      <c r="J717" s="7"/>
    </row>
    <row r="718" spans="2:10" x14ac:dyDescent="0.15">
      <c r="B718"/>
      <c r="C718"/>
      <c r="D718"/>
      <c r="E718"/>
      <c r="F718" s="7"/>
      <c r="G718" s="7"/>
      <c r="H718" s="7"/>
      <c r="I718" s="7"/>
      <c r="J718" s="7"/>
    </row>
    <row r="719" spans="2:10" x14ac:dyDescent="0.15">
      <c r="B719"/>
      <c r="C719"/>
      <c r="D719"/>
      <c r="E719"/>
      <c r="F719" s="7"/>
      <c r="G719" s="7"/>
      <c r="H719" s="7"/>
      <c r="I719" s="7"/>
      <c r="J719" s="7"/>
    </row>
    <row r="720" spans="2:10" x14ac:dyDescent="0.15">
      <c r="B720"/>
      <c r="C720"/>
      <c r="D720"/>
      <c r="E720"/>
      <c r="F720" s="7"/>
      <c r="G720" s="7"/>
      <c r="H720" s="7"/>
      <c r="I720" s="7"/>
      <c r="J720" s="7"/>
    </row>
    <row r="721" spans="2:10" x14ac:dyDescent="0.15">
      <c r="B721"/>
      <c r="C721"/>
      <c r="D721"/>
      <c r="E721"/>
      <c r="F721" s="7"/>
      <c r="G721" s="7"/>
      <c r="H721" s="7"/>
      <c r="I721" s="7"/>
      <c r="J721" s="7"/>
    </row>
    <row r="722" spans="2:10" x14ac:dyDescent="0.15">
      <c r="B722"/>
      <c r="C722"/>
      <c r="D722"/>
      <c r="E722"/>
      <c r="F722" s="7"/>
      <c r="G722" s="7"/>
      <c r="H722" s="7"/>
      <c r="I722" s="7"/>
      <c r="J722" s="7"/>
    </row>
  </sheetData>
  <mergeCells count="2">
    <mergeCell ref="C1:C2"/>
    <mergeCell ref="F1:J1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2"/>
  <sheetViews>
    <sheetView workbookViewId="0">
      <selection activeCell="L7" sqref="L7"/>
    </sheetView>
  </sheetViews>
  <sheetFormatPr defaultRowHeight="13.5" x14ac:dyDescent="0.15"/>
  <cols>
    <col min="2" max="5" width="12.625" style="2" customWidth="1"/>
    <col min="6" max="10" width="9.625" style="4" customWidth="1"/>
  </cols>
  <sheetData>
    <row r="1" spans="2:12" ht="13.5" customHeight="1" x14ac:dyDescent="0.15">
      <c r="B1" s="8" t="s">
        <v>7</v>
      </c>
      <c r="C1" s="14" t="s">
        <v>10</v>
      </c>
      <c r="D1" s="8" t="s">
        <v>11</v>
      </c>
      <c r="E1" s="8" t="s">
        <v>1</v>
      </c>
      <c r="F1" s="16" t="s">
        <v>20</v>
      </c>
      <c r="G1" s="17"/>
      <c r="H1" s="17"/>
      <c r="I1" s="17"/>
      <c r="J1" s="18"/>
    </row>
    <row r="2" spans="2:12" x14ac:dyDescent="0.15">
      <c r="B2" s="9" t="s">
        <v>9</v>
      </c>
      <c r="C2" s="15"/>
      <c r="D2" s="9" t="s">
        <v>12</v>
      </c>
      <c r="E2" s="9" t="s">
        <v>15</v>
      </c>
      <c r="F2" s="4" t="s">
        <v>8</v>
      </c>
      <c r="G2" s="4" t="s">
        <v>31</v>
      </c>
      <c r="H2" s="4" t="s">
        <v>32</v>
      </c>
      <c r="I2" s="4" t="s">
        <v>33</v>
      </c>
      <c r="J2" s="4" t="s">
        <v>34</v>
      </c>
    </row>
    <row r="3" spans="2:12" x14ac:dyDescent="0.15">
      <c r="B3" s="2">
        <v>1</v>
      </c>
      <c r="C3" s="2">
        <f>B3+1</f>
        <v>2</v>
      </c>
      <c r="D3" s="3">
        <f>0.97*(1.7*C3)^0.5</f>
        <v>1.7885916247148201</v>
      </c>
      <c r="E3" s="3">
        <f>4*3^0.5*D3/3</f>
        <v>4.1305754239976453</v>
      </c>
      <c r="F3" s="5">
        <f>(8+16*B3)/E3^3</f>
        <v>0.34054897028263337</v>
      </c>
      <c r="G3" s="5">
        <f>F3*4</f>
        <v>1.3621958811305335</v>
      </c>
      <c r="H3" s="5">
        <f>F3*5</f>
        <v>1.7027448514131669</v>
      </c>
      <c r="I3" s="5">
        <f>F3*6</f>
        <v>2.0432938216958001</v>
      </c>
      <c r="J3" s="5">
        <f>F3*7</f>
        <v>2.3838427919784335</v>
      </c>
      <c r="L3" t="s">
        <v>12</v>
      </c>
    </row>
    <row r="4" spans="2:12" x14ac:dyDescent="0.15">
      <c r="B4" s="2">
        <v>2</v>
      </c>
      <c r="C4" s="2">
        <f t="shared" ref="C4:C67" si="0">B4+1</f>
        <v>3</v>
      </c>
      <c r="D4" s="3">
        <f t="shared" ref="D4:D67" si="1">0.97*(1.7*C4)^0.5</f>
        <v>2.1905684193834256</v>
      </c>
      <c r="E4" s="3">
        <f t="shared" ref="E4:E67" si="2">4*3^0.5*D4/3</f>
        <v>5.0589010664372553</v>
      </c>
      <c r="F4" s="5">
        <f t="shared" ref="F4:F67" si="3">(8+16*B4)/E4^3</f>
        <v>0.30895229986025313</v>
      </c>
      <c r="G4" s="5">
        <f t="shared" ref="G4:G67" si="4">F4*4</f>
        <v>1.2358091994410125</v>
      </c>
      <c r="H4" s="5">
        <f t="shared" ref="H4:H67" si="5">F4*5</f>
        <v>1.5447614993012657</v>
      </c>
      <c r="I4" s="5">
        <f t="shared" ref="I4:I67" si="6">F4*6</f>
        <v>1.8537137991615187</v>
      </c>
      <c r="J4" s="5">
        <f t="shared" ref="J4:J67" si="7">F4*7</f>
        <v>2.1626660990217719</v>
      </c>
      <c r="L4" t="s">
        <v>36</v>
      </c>
    </row>
    <row r="5" spans="2:12" x14ac:dyDescent="0.15">
      <c r="B5" s="2">
        <v>3</v>
      </c>
      <c r="C5" s="2">
        <f t="shared" si="0"/>
        <v>4</v>
      </c>
      <c r="D5" s="3">
        <f t="shared" si="1"/>
        <v>2.5294505332186277</v>
      </c>
      <c r="E5" s="3">
        <f t="shared" si="2"/>
        <v>5.8415157850224686</v>
      </c>
      <c r="F5" s="5">
        <f t="shared" si="3"/>
        <v>0.28093856724843697</v>
      </c>
      <c r="G5" s="5">
        <f t="shared" si="4"/>
        <v>1.1237542689937479</v>
      </c>
      <c r="H5" s="5">
        <f t="shared" si="5"/>
        <v>1.4046928362421849</v>
      </c>
      <c r="I5" s="5">
        <f t="shared" si="6"/>
        <v>1.6856314034906217</v>
      </c>
      <c r="J5" s="5">
        <f t="shared" si="7"/>
        <v>1.9665699707390587</v>
      </c>
      <c r="L5" t="s">
        <v>35</v>
      </c>
    </row>
    <row r="6" spans="2:12" x14ac:dyDescent="0.15">
      <c r="B6" s="2">
        <v>4</v>
      </c>
      <c r="C6" s="2">
        <f t="shared" si="0"/>
        <v>5</v>
      </c>
      <c r="D6" s="3">
        <f t="shared" si="1"/>
        <v>2.8280116689999706</v>
      </c>
      <c r="E6" s="3">
        <f t="shared" si="2"/>
        <v>6.5310131934741422</v>
      </c>
      <c r="F6" s="5">
        <f t="shared" si="3"/>
        <v>0.25845849622034811</v>
      </c>
      <c r="G6" s="5">
        <f t="shared" si="4"/>
        <v>1.0338339848813924</v>
      </c>
      <c r="H6" s="5">
        <f t="shared" si="5"/>
        <v>1.2922924811017404</v>
      </c>
      <c r="I6" s="5">
        <f t="shared" si="6"/>
        <v>1.5507509773220887</v>
      </c>
      <c r="J6" s="5">
        <f t="shared" si="7"/>
        <v>1.8092094735424369</v>
      </c>
    </row>
    <row r="7" spans="2:12" x14ac:dyDescent="0.15">
      <c r="B7" s="2">
        <v>5</v>
      </c>
      <c r="C7" s="2">
        <f t="shared" si="0"/>
        <v>6</v>
      </c>
      <c r="D7" s="3">
        <f t="shared" si="1"/>
        <v>3.0979315679982342</v>
      </c>
      <c r="E7" s="3">
        <f t="shared" si="2"/>
        <v>7.1543664988592797</v>
      </c>
      <c r="F7" s="5">
        <f t="shared" si="3"/>
        <v>0.24030849292380113</v>
      </c>
      <c r="G7" s="5">
        <f t="shared" si="4"/>
        <v>0.96123397169520453</v>
      </c>
      <c r="H7" s="5">
        <f t="shared" si="5"/>
        <v>1.2015424646190056</v>
      </c>
      <c r="I7" s="5">
        <f t="shared" si="6"/>
        <v>1.4418509575428069</v>
      </c>
      <c r="J7" s="5">
        <f t="shared" si="7"/>
        <v>1.682159450466608</v>
      </c>
      <c r="L7" t="s">
        <v>15</v>
      </c>
    </row>
    <row r="8" spans="2:12" x14ac:dyDescent="0.15">
      <c r="B8" s="2">
        <v>6</v>
      </c>
      <c r="C8" s="2">
        <f t="shared" si="0"/>
        <v>7</v>
      </c>
      <c r="D8" s="3">
        <f t="shared" si="1"/>
        <v>3.3461485322681059</v>
      </c>
      <c r="E8" s="3">
        <f t="shared" si="2"/>
        <v>7.7275990234138483</v>
      </c>
      <c r="F8" s="5">
        <f t="shared" si="3"/>
        <v>0.22537181514029339</v>
      </c>
      <c r="G8" s="5">
        <f t="shared" si="4"/>
        <v>0.90148726056117356</v>
      </c>
      <c r="H8" s="5">
        <f t="shared" si="5"/>
        <v>1.1268590757014669</v>
      </c>
      <c r="I8" s="5">
        <f t="shared" si="6"/>
        <v>1.3522308908417604</v>
      </c>
      <c r="J8" s="5">
        <f t="shared" si="7"/>
        <v>1.5776027059820537</v>
      </c>
      <c r="L8" t="s">
        <v>30</v>
      </c>
    </row>
    <row r="9" spans="2:12" x14ac:dyDescent="0.15">
      <c r="B9" s="2">
        <v>7</v>
      </c>
      <c r="C9" s="2">
        <f t="shared" si="0"/>
        <v>8</v>
      </c>
      <c r="D9" s="3">
        <f t="shared" si="1"/>
        <v>3.5771832494296403</v>
      </c>
      <c r="E9" s="3">
        <f t="shared" si="2"/>
        <v>8.2611508479952906</v>
      </c>
      <c r="F9" s="5">
        <f t="shared" si="3"/>
        <v>0.21284310642664586</v>
      </c>
      <c r="G9" s="6">
        <f t="shared" si="4"/>
        <v>0.85137242570658345</v>
      </c>
      <c r="H9" s="5">
        <f t="shared" si="5"/>
        <v>1.0642155321332294</v>
      </c>
      <c r="I9" s="5">
        <f t="shared" si="6"/>
        <v>1.2770586385598752</v>
      </c>
      <c r="J9" s="5">
        <f t="shared" si="7"/>
        <v>1.4899017449865211</v>
      </c>
      <c r="L9" t="s">
        <v>21</v>
      </c>
    </row>
    <row r="10" spans="2:12" x14ac:dyDescent="0.15">
      <c r="B10" s="2">
        <v>8</v>
      </c>
      <c r="C10" s="2">
        <f t="shared" si="0"/>
        <v>9</v>
      </c>
      <c r="D10" s="3">
        <f t="shared" si="1"/>
        <v>3.7941757998279413</v>
      </c>
      <c r="E10" s="3">
        <f t="shared" si="2"/>
        <v>8.7622736775337007</v>
      </c>
      <c r="F10" s="5">
        <f t="shared" si="3"/>
        <v>0.20215685262321403</v>
      </c>
      <c r="G10" s="5">
        <f t="shared" si="4"/>
        <v>0.80862741049285614</v>
      </c>
      <c r="H10" s="5">
        <f t="shared" si="5"/>
        <v>1.0107842631160702</v>
      </c>
      <c r="I10" s="5">
        <f t="shared" si="6"/>
        <v>1.2129411157392842</v>
      </c>
      <c r="J10" s="5">
        <f t="shared" si="7"/>
        <v>1.4150979683624982</v>
      </c>
      <c r="L10" t="s">
        <v>17</v>
      </c>
    </row>
    <row r="11" spans="2:12" x14ac:dyDescent="0.15">
      <c r="B11" s="2">
        <v>9</v>
      </c>
      <c r="C11" s="2">
        <f t="shared" si="0"/>
        <v>10</v>
      </c>
      <c r="D11" s="3">
        <f t="shared" si="1"/>
        <v>3.9994124568491305</v>
      </c>
      <c r="E11" s="3">
        <f t="shared" si="2"/>
        <v>9.2362474342487513</v>
      </c>
      <c r="F11" s="5">
        <f t="shared" si="3"/>
        <v>0.19291096396227939</v>
      </c>
      <c r="G11" s="5">
        <f t="shared" si="4"/>
        <v>0.77164385584911754</v>
      </c>
      <c r="H11" s="5">
        <f t="shared" si="5"/>
        <v>0.9645548198113969</v>
      </c>
      <c r="I11" s="5">
        <f t="shared" si="6"/>
        <v>1.1574657837736764</v>
      </c>
      <c r="J11" s="5">
        <f t="shared" si="7"/>
        <v>1.3503767477359556</v>
      </c>
      <c r="L11" t="s">
        <v>16</v>
      </c>
    </row>
    <row r="12" spans="2:12" x14ac:dyDescent="0.15">
      <c r="B12" s="2">
        <v>10</v>
      </c>
      <c r="C12" s="2">
        <f t="shared" si="0"/>
        <v>11</v>
      </c>
      <c r="D12" s="3">
        <f t="shared" si="1"/>
        <v>4.194619172225293</v>
      </c>
      <c r="E12" s="3">
        <f t="shared" si="2"/>
        <v>9.6870580329289524</v>
      </c>
      <c r="F12" s="5">
        <f t="shared" si="3"/>
        <v>0.18481345124689461</v>
      </c>
      <c r="G12" s="5">
        <f t="shared" si="4"/>
        <v>0.73925380498757842</v>
      </c>
      <c r="H12" s="5">
        <f t="shared" si="5"/>
        <v>0.92406725623447306</v>
      </c>
      <c r="I12" s="5">
        <f t="shared" si="6"/>
        <v>1.1088807074813676</v>
      </c>
      <c r="J12" s="5">
        <f t="shared" si="7"/>
        <v>1.2936941587282622</v>
      </c>
      <c r="L12" t="s">
        <v>18</v>
      </c>
    </row>
    <row r="13" spans="2:12" x14ac:dyDescent="0.15">
      <c r="B13" s="2">
        <v>11</v>
      </c>
      <c r="C13" s="2">
        <f t="shared" si="0"/>
        <v>12</v>
      </c>
      <c r="D13" s="3">
        <f t="shared" si="1"/>
        <v>4.3811368387668512</v>
      </c>
      <c r="E13" s="3">
        <f t="shared" si="2"/>
        <v>10.117802132874511</v>
      </c>
      <c r="F13" s="5">
        <f t="shared" si="3"/>
        <v>0.17764757241964554</v>
      </c>
      <c r="G13" s="5">
        <f t="shared" si="4"/>
        <v>0.71059028967858218</v>
      </c>
      <c r="H13" s="5">
        <f t="shared" si="5"/>
        <v>0.88823786209822775</v>
      </c>
      <c r="I13" s="5">
        <f t="shared" si="6"/>
        <v>1.0658854345178732</v>
      </c>
      <c r="J13" s="5">
        <f t="shared" si="7"/>
        <v>1.2435330069375188</v>
      </c>
      <c r="L13" t="s">
        <v>19</v>
      </c>
    </row>
    <row r="14" spans="2:12" x14ac:dyDescent="0.15">
      <c r="B14" s="2">
        <v>12</v>
      </c>
      <c r="C14" s="2">
        <f t="shared" si="0"/>
        <v>13</v>
      </c>
      <c r="D14" s="3">
        <f t="shared" si="1"/>
        <v>4.5600317981347454</v>
      </c>
      <c r="E14" s="3">
        <f t="shared" si="2"/>
        <v>10.530942344665393</v>
      </c>
      <c r="F14" s="5">
        <f t="shared" si="3"/>
        <v>0.17124909712081626</v>
      </c>
      <c r="G14" s="5">
        <f t="shared" si="4"/>
        <v>0.68499638848326505</v>
      </c>
      <c r="H14" s="6">
        <f t="shared" si="5"/>
        <v>0.85624548560408131</v>
      </c>
      <c r="I14" s="5">
        <f t="shared" si="6"/>
        <v>1.0274945827248976</v>
      </c>
      <c r="J14" s="5">
        <f t="shared" si="7"/>
        <v>1.1987436798457138</v>
      </c>
    </row>
    <row r="15" spans="2:12" x14ac:dyDescent="0.15">
      <c r="B15" s="2">
        <v>13</v>
      </c>
      <c r="C15" s="2">
        <f t="shared" si="0"/>
        <v>14</v>
      </c>
      <c r="D15" s="3">
        <f t="shared" si="1"/>
        <v>4.7321686360483817</v>
      </c>
      <c r="E15" s="3">
        <f t="shared" si="2"/>
        <v>10.928475343492948</v>
      </c>
      <c r="F15" s="5">
        <f t="shared" si="3"/>
        <v>0.16549124411148489</v>
      </c>
      <c r="G15" s="5">
        <f t="shared" si="4"/>
        <v>0.66196497644593955</v>
      </c>
      <c r="H15" s="5">
        <f t="shared" si="5"/>
        <v>0.8274562205574244</v>
      </c>
      <c r="I15" s="5">
        <f t="shared" si="6"/>
        <v>0.99294746466890937</v>
      </c>
      <c r="J15" s="5">
        <f t="shared" si="7"/>
        <v>1.1584387087803942</v>
      </c>
      <c r="L15" t="s">
        <v>22</v>
      </c>
    </row>
    <row r="16" spans="2:12" x14ac:dyDescent="0.15">
      <c r="B16" s="2">
        <v>14</v>
      </c>
      <c r="C16" s="2">
        <f t="shared" si="0"/>
        <v>15</v>
      </c>
      <c r="D16" s="3">
        <f t="shared" si="1"/>
        <v>4.8982598951056078</v>
      </c>
      <c r="E16" s="3">
        <f t="shared" si="2"/>
        <v>11.312046675999882</v>
      </c>
      <c r="F16" s="5">
        <f t="shared" si="3"/>
        <v>0.16027449587584255</v>
      </c>
      <c r="G16" s="5">
        <f t="shared" si="4"/>
        <v>0.64109798350337022</v>
      </c>
      <c r="H16" s="5">
        <f t="shared" si="5"/>
        <v>0.80137247937921274</v>
      </c>
      <c r="I16" s="5">
        <f t="shared" si="6"/>
        <v>0.96164697525505538</v>
      </c>
      <c r="J16" s="5">
        <f t="shared" si="7"/>
        <v>1.1219214711308978</v>
      </c>
      <c r="L16" t="s">
        <v>23</v>
      </c>
    </row>
    <row r="17" spans="2:12" x14ac:dyDescent="0.15">
      <c r="B17" s="2">
        <v>15</v>
      </c>
      <c r="C17" s="2">
        <f t="shared" si="0"/>
        <v>16</v>
      </c>
      <c r="D17" s="3">
        <f t="shared" si="1"/>
        <v>5.0589010664372553</v>
      </c>
      <c r="E17" s="3">
        <f t="shared" si="2"/>
        <v>11.683031570044937</v>
      </c>
      <c r="F17" s="5">
        <f t="shared" si="3"/>
        <v>0.15551956401252762</v>
      </c>
      <c r="G17" s="5">
        <f t="shared" si="4"/>
        <v>0.62207825605011047</v>
      </c>
      <c r="H17" s="5">
        <f t="shared" si="5"/>
        <v>0.77759782006263811</v>
      </c>
      <c r="I17" s="5">
        <f t="shared" si="6"/>
        <v>0.93311738407516565</v>
      </c>
      <c r="J17" s="5">
        <f t="shared" si="7"/>
        <v>1.0886369480876934</v>
      </c>
      <c r="L17" t="s">
        <v>24</v>
      </c>
    </row>
    <row r="18" spans="2:12" x14ac:dyDescent="0.15">
      <c r="B18" s="2">
        <v>16</v>
      </c>
      <c r="C18" s="2">
        <f t="shared" si="0"/>
        <v>17</v>
      </c>
      <c r="D18" s="3">
        <f t="shared" si="1"/>
        <v>5.2145958616176573</v>
      </c>
      <c r="E18" s="3">
        <f t="shared" si="2"/>
        <v>12.04259329768025</v>
      </c>
      <c r="F18" s="5">
        <f t="shared" si="3"/>
        <v>0.15116243113583741</v>
      </c>
      <c r="G18" s="5">
        <f t="shared" si="4"/>
        <v>0.60464972454334964</v>
      </c>
      <c r="H18" s="5">
        <f t="shared" si="5"/>
        <v>0.75581215567918703</v>
      </c>
      <c r="I18" s="5">
        <f t="shared" si="6"/>
        <v>0.90697458681502452</v>
      </c>
      <c r="J18" s="5">
        <f t="shared" si="7"/>
        <v>1.0581370179508618</v>
      </c>
      <c r="L18" t="s">
        <v>25</v>
      </c>
    </row>
    <row r="19" spans="2:12" x14ac:dyDescent="0.15">
      <c r="B19" s="2">
        <v>17</v>
      </c>
      <c r="C19" s="2">
        <f t="shared" si="0"/>
        <v>18</v>
      </c>
      <c r="D19" s="3">
        <f t="shared" si="1"/>
        <v>5.36577487414446</v>
      </c>
      <c r="E19" s="3">
        <f t="shared" si="2"/>
        <v>12.391726271992937</v>
      </c>
      <c r="F19" s="5">
        <f t="shared" si="3"/>
        <v>0.14715078962829833</v>
      </c>
      <c r="G19" s="5">
        <f t="shared" si="4"/>
        <v>0.58860315851319334</v>
      </c>
      <c r="H19" s="5">
        <f t="shared" si="5"/>
        <v>0.73575394814149164</v>
      </c>
      <c r="I19" s="5">
        <f t="shared" si="6"/>
        <v>0.88290473776979006</v>
      </c>
      <c r="J19" s="5">
        <f t="shared" si="7"/>
        <v>1.0300555273980883</v>
      </c>
      <c r="L19" t="s">
        <v>26</v>
      </c>
    </row>
    <row r="20" spans="2:12" x14ac:dyDescent="0.15">
      <c r="B20" s="2">
        <v>18</v>
      </c>
      <c r="C20" s="2">
        <f t="shared" si="0"/>
        <v>19</v>
      </c>
      <c r="D20" s="3">
        <f t="shared" si="1"/>
        <v>5.5128096284925352</v>
      </c>
      <c r="E20" s="3">
        <f t="shared" si="2"/>
        <v>12.731288492005303</v>
      </c>
      <c r="F20" s="5">
        <f t="shared" si="3"/>
        <v>0.1434414388198641</v>
      </c>
      <c r="G20" s="5">
        <f t="shared" si="4"/>
        <v>0.57376575527945639</v>
      </c>
      <c r="H20" s="5">
        <f t="shared" si="5"/>
        <v>0.71720719409932054</v>
      </c>
      <c r="I20" s="6">
        <f t="shared" si="6"/>
        <v>0.86064863291918459</v>
      </c>
      <c r="J20" s="5">
        <f t="shared" si="7"/>
        <v>1.0040900717390486</v>
      </c>
      <c r="L20" t="s">
        <v>27</v>
      </c>
    </row>
    <row r="21" spans="2:12" x14ac:dyDescent="0.15">
      <c r="B21" s="2">
        <v>19</v>
      </c>
      <c r="C21" s="2">
        <f t="shared" si="0"/>
        <v>20</v>
      </c>
      <c r="D21" s="3">
        <f t="shared" si="1"/>
        <v>5.6560233379999412</v>
      </c>
      <c r="E21" s="3">
        <f t="shared" si="2"/>
        <v>13.062026386948284</v>
      </c>
      <c r="F21" s="5">
        <f t="shared" si="3"/>
        <v>0.13999835211935521</v>
      </c>
      <c r="G21" s="5">
        <f t="shared" si="4"/>
        <v>0.55999340847742085</v>
      </c>
      <c r="H21" s="5">
        <f t="shared" si="5"/>
        <v>0.69999176059677604</v>
      </c>
      <c r="I21" s="5">
        <f t="shared" si="6"/>
        <v>0.83999011271613133</v>
      </c>
      <c r="J21" s="5">
        <f t="shared" si="7"/>
        <v>0.97998846483548652</v>
      </c>
      <c r="L21" t="s">
        <v>28</v>
      </c>
    </row>
    <row r="22" spans="2:12" x14ac:dyDescent="0.15">
      <c r="B22" s="2">
        <v>20</v>
      </c>
      <c r="C22" s="2">
        <f t="shared" si="0"/>
        <v>21</v>
      </c>
      <c r="D22" s="3">
        <f t="shared" si="1"/>
        <v>5.7956992675603862</v>
      </c>
      <c r="E22" s="3">
        <f t="shared" si="2"/>
        <v>13.384594129072424</v>
      </c>
      <c r="F22" s="5">
        <f t="shared" si="3"/>
        <v>0.13679122060766977</v>
      </c>
      <c r="G22" s="5">
        <f t="shared" si="4"/>
        <v>0.54716488243067907</v>
      </c>
      <c r="H22" s="5">
        <f t="shared" si="5"/>
        <v>0.68395610303834886</v>
      </c>
      <c r="I22" s="5">
        <f t="shared" si="6"/>
        <v>0.82074732364601855</v>
      </c>
      <c r="J22" s="5">
        <f t="shared" si="7"/>
        <v>0.95753854425368834</v>
      </c>
      <c r="L22" t="s">
        <v>29</v>
      </c>
    </row>
    <row r="23" spans="2:12" x14ac:dyDescent="0.15">
      <c r="B23" s="2">
        <v>21</v>
      </c>
      <c r="C23" s="2">
        <f t="shared" si="0"/>
        <v>22</v>
      </c>
      <c r="D23" s="3">
        <f t="shared" si="1"/>
        <v>5.9320873223512134</v>
      </c>
      <c r="E23" s="3">
        <f t="shared" si="2"/>
        <v>13.699568849663358</v>
      </c>
      <c r="F23" s="5">
        <f t="shared" si="3"/>
        <v>0.13379434093191075</v>
      </c>
      <c r="G23" s="5">
        <f t="shared" si="4"/>
        <v>0.53517736372764302</v>
      </c>
      <c r="H23" s="5">
        <f t="shared" si="5"/>
        <v>0.6689717046595538</v>
      </c>
      <c r="I23" s="5">
        <f t="shared" si="6"/>
        <v>0.80276604559146447</v>
      </c>
      <c r="J23" s="5">
        <f t="shared" si="7"/>
        <v>0.93656038652337525</v>
      </c>
    </row>
    <row r="24" spans="2:12" x14ac:dyDescent="0.15">
      <c r="B24" s="2">
        <v>22</v>
      </c>
      <c r="C24" s="2">
        <f t="shared" si="0"/>
        <v>23</v>
      </c>
      <c r="D24" s="3">
        <f t="shared" si="1"/>
        <v>6.0654093019350315</v>
      </c>
      <c r="E24" s="3">
        <f t="shared" si="2"/>
        <v>14.0074627728698</v>
      </c>
      <c r="F24" s="5">
        <f t="shared" si="3"/>
        <v>0.13098575568262794</v>
      </c>
      <c r="G24" s="5">
        <f t="shared" si="4"/>
        <v>0.52394302273051174</v>
      </c>
      <c r="H24" s="5">
        <f t="shared" si="5"/>
        <v>0.65492877841313968</v>
      </c>
      <c r="I24" s="5">
        <f t="shared" si="6"/>
        <v>0.78591453409576761</v>
      </c>
      <c r="J24" s="5">
        <f t="shared" si="7"/>
        <v>0.91690028977839555</v>
      </c>
    </row>
    <row r="25" spans="2:12" x14ac:dyDescent="0.15">
      <c r="B25" s="2">
        <v>23</v>
      </c>
      <c r="C25" s="2">
        <f t="shared" si="0"/>
        <v>24</v>
      </c>
      <c r="D25" s="3">
        <f t="shared" si="1"/>
        <v>6.1958631359964684</v>
      </c>
      <c r="E25" s="3">
        <f t="shared" si="2"/>
        <v>14.308732997718559</v>
      </c>
      <c r="F25" s="5">
        <f t="shared" si="3"/>
        <v>0.12834658144793926</v>
      </c>
      <c r="G25" s="5">
        <f t="shared" si="4"/>
        <v>0.51338632579175703</v>
      </c>
      <c r="H25" s="5">
        <f t="shared" si="5"/>
        <v>0.64173290723969623</v>
      </c>
      <c r="I25" s="5">
        <f t="shared" si="6"/>
        <v>0.77007948868763554</v>
      </c>
      <c r="J25" s="5">
        <f t="shared" si="7"/>
        <v>0.89842607013557485</v>
      </c>
    </row>
    <row r="26" spans="2:12" x14ac:dyDescent="0.15">
      <c r="B26" s="2">
        <v>24</v>
      </c>
      <c r="C26" s="2">
        <f t="shared" si="0"/>
        <v>25</v>
      </c>
      <c r="D26" s="3">
        <f t="shared" si="1"/>
        <v>6.3236263330465698</v>
      </c>
      <c r="E26" s="3">
        <f t="shared" si="2"/>
        <v>14.603789462556172</v>
      </c>
      <c r="F26" s="5">
        <f t="shared" si="3"/>
        <v>0.12586047812729975</v>
      </c>
      <c r="G26" s="5">
        <f t="shared" si="4"/>
        <v>0.50344191250919901</v>
      </c>
      <c r="H26" s="5">
        <f t="shared" si="5"/>
        <v>0.62930239063649873</v>
      </c>
      <c r="I26" s="5">
        <f t="shared" si="6"/>
        <v>0.75516286876379857</v>
      </c>
      <c r="J26" s="5">
        <f t="shared" si="7"/>
        <v>0.88102334689109829</v>
      </c>
    </row>
    <row r="27" spans="2:12" x14ac:dyDescent="0.15">
      <c r="B27" s="2">
        <v>25</v>
      </c>
      <c r="C27" s="2">
        <f t="shared" si="0"/>
        <v>26</v>
      </c>
      <c r="D27" s="3">
        <f t="shared" si="1"/>
        <v>6.448858813774728</v>
      </c>
      <c r="E27" s="3">
        <f t="shared" si="2"/>
        <v>14.893001488394917</v>
      </c>
      <c r="F27" s="5">
        <f t="shared" si="3"/>
        <v>0.12351322580312694</v>
      </c>
      <c r="G27" s="5">
        <f t="shared" si="4"/>
        <v>0.49405290321250778</v>
      </c>
      <c r="H27" s="5">
        <f t="shared" si="5"/>
        <v>0.61756612901563468</v>
      </c>
      <c r="I27" s="5">
        <f t="shared" si="6"/>
        <v>0.74107935481876164</v>
      </c>
      <c r="J27" s="5">
        <f t="shared" si="7"/>
        <v>0.8645925806218886</v>
      </c>
    </row>
    <row r="28" spans="2:12" x14ac:dyDescent="0.15">
      <c r="B28" s="2">
        <v>26</v>
      </c>
      <c r="C28" s="2">
        <f t="shared" si="0"/>
        <v>27</v>
      </c>
      <c r="D28" s="3">
        <f t="shared" si="1"/>
        <v>6.5717052581502768</v>
      </c>
      <c r="E28" s="3">
        <f t="shared" si="2"/>
        <v>15.176703199311765</v>
      </c>
      <c r="F28" s="5">
        <f t="shared" si="3"/>
        <v>0.12129238438958086</v>
      </c>
      <c r="G28" s="5">
        <f t="shared" si="4"/>
        <v>0.48516953755832343</v>
      </c>
      <c r="H28" s="5">
        <f t="shared" si="5"/>
        <v>0.60646192194790427</v>
      </c>
      <c r="I28" s="5">
        <f t="shared" si="6"/>
        <v>0.72775430633748517</v>
      </c>
      <c r="J28" s="6">
        <f t="shared" si="7"/>
        <v>0.84904669072706596</v>
      </c>
    </row>
    <row r="29" spans="2:12" x14ac:dyDescent="0.15">
      <c r="B29" s="2">
        <v>27</v>
      </c>
      <c r="C29" s="2">
        <f t="shared" si="0"/>
        <v>28</v>
      </c>
      <c r="D29" s="3">
        <f t="shared" si="1"/>
        <v>6.6922970645362119</v>
      </c>
      <c r="E29" s="3">
        <f t="shared" si="2"/>
        <v>15.455198046827697</v>
      </c>
      <c r="F29" s="5">
        <f t="shared" si="3"/>
        <v>0.11918701762227055</v>
      </c>
      <c r="G29" s="5">
        <f t="shared" si="4"/>
        <v>0.47674807048908219</v>
      </c>
      <c r="H29" s="5">
        <f t="shared" si="5"/>
        <v>0.59593508811135276</v>
      </c>
      <c r="I29" s="5">
        <f t="shared" si="6"/>
        <v>0.71512210573362323</v>
      </c>
      <c r="J29" s="5">
        <f t="shared" si="7"/>
        <v>0.8343091233558938</v>
      </c>
    </row>
    <row r="30" spans="2:12" x14ac:dyDescent="0.15">
      <c r="B30" s="2">
        <v>28</v>
      </c>
      <c r="C30" s="2">
        <f t="shared" si="0"/>
        <v>29</v>
      </c>
      <c r="D30" s="3">
        <f t="shared" si="1"/>
        <v>6.8107539964382795</v>
      </c>
      <c r="E30" s="3">
        <f t="shared" si="2"/>
        <v>15.728762612911838</v>
      </c>
      <c r="F30" s="5">
        <f t="shared" si="3"/>
        <v>0.11718746752212701</v>
      </c>
      <c r="G30" s="5">
        <f t="shared" si="4"/>
        <v>0.46874987008850805</v>
      </c>
      <c r="H30" s="5">
        <f t="shared" si="5"/>
        <v>0.58593733761063505</v>
      </c>
      <c r="I30" s="5">
        <f t="shared" si="6"/>
        <v>0.7031248051327621</v>
      </c>
      <c r="J30" s="5">
        <f t="shared" si="7"/>
        <v>0.82031227265488904</v>
      </c>
    </row>
    <row r="31" spans="2:12" x14ac:dyDescent="0.15">
      <c r="B31" s="2">
        <v>29</v>
      </c>
      <c r="C31" s="2">
        <f t="shared" si="0"/>
        <v>30</v>
      </c>
      <c r="D31" s="3">
        <f t="shared" si="1"/>
        <v>6.9271855756865648</v>
      </c>
      <c r="E31" s="3">
        <f t="shared" si="2"/>
        <v>15.997649827396522</v>
      </c>
      <c r="F31" s="5">
        <f t="shared" si="3"/>
        <v>0.11528516879687506</v>
      </c>
      <c r="G31" s="5">
        <f t="shared" si="4"/>
        <v>0.46114067518750024</v>
      </c>
      <c r="H31" s="5">
        <f t="shared" si="5"/>
        <v>0.57642584398437524</v>
      </c>
      <c r="I31" s="5">
        <f t="shared" si="6"/>
        <v>0.69171101278125036</v>
      </c>
      <c r="J31" s="5">
        <f t="shared" si="7"/>
        <v>0.80699618157812547</v>
      </c>
    </row>
    <row r="32" spans="2:12" x14ac:dyDescent="0.15">
      <c r="B32" s="2">
        <v>30</v>
      </c>
      <c r="C32" s="2">
        <f t="shared" si="0"/>
        <v>31</v>
      </c>
      <c r="D32" s="3">
        <f t="shared" si="1"/>
        <v>7.0416922681980356</v>
      </c>
      <c r="E32" s="3">
        <f t="shared" si="2"/>
        <v>16.262091706378566</v>
      </c>
      <c r="F32" s="5">
        <f t="shared" si="3"/>
        <v>0.1134724950974792</v>
      </c>
      <c r="G32" s="5">
        <f t="shared" si="4"/>
        <v>0.45388998038991679</v>
      </c>
      <c r="H32" s="5">
        <f t="shared" si="5"/>
        <v>0.56736247548739605</v>
      </c>
      <c r="I32" s="5">
        <f t="shared" si="6"/>
        <v>0.68083497058487519</v>
      </c>
      <c r="J32" s="5">
        <f t="shared" si="7"/>
        <v>0.79430746568235433</v>
      </c>
    </row>
    <row r="33" spans="2:10" x14ac:dyDescent="0.15">
      <c r="B33" s="2">
        <v>31</v>
      </c>
      <c r="C33" s="2">
        <f t="shared" si="0"/>
        <v>32</v>
      </c>
      <c r="D33" s="3">
        <f t="shared" si="1"/>
        <v>7.1543664988592806</v>
      </c>
      <c r="E33" s="3">
        <f t="shared" si="2"/>
        <v>16.522301695990581</v>
      </c>
      <c r="F33" s="5">
        <f t="shared" si="3"/>
        <v>0.11174263087398907</v>
      </c>
      <c r="G33" s="5">
        <f t="shared" si="4"/>
        <v>0.44697052349595628</v>
      </c>
      <c r="H33" s="5">
        <f t="shared" si="5"/>
        <v>0.5587131543699454</v>
      </c>
      <c r="I33" s="5">
        <f t="shared" si="6"/>
        <v>0.67045578524393445</v>
      </c>
      <c r="J33" s="5">
        <f t="shared" si="7"/>
        <v>0.78219841611792351</v>
      </c>
    </row>
    <row r="34" spans="2:10" x14ac:dyDescent="0.15">
      <c r="B34" s="2">
        <v>32</v>
      </c>
      <c r="C34" s="2">
        <f t="shared" si="0"/>
        <v>33</v>
      </c>
      <c r="D34" s="3">
        <f t="shared" si="1"/>
        <v>7.2652935246967143</v>
      </c>
      <c r="E34" s="3">
        <f t="shared" si="2"/>
        <v>16.778476688901172</v>
      </c>
      <c r="F34" s="5">
        <f t="shared" si="3"/>
        <v>0.11008946394875865</v>
      </c>
      <c r="G34" s="5">
        <f t="shared" si="4"/>
        <v>0.44035785579503461</v>
      </c>
      <c r="H34" s="5">
        <f t="shared" si="5"/>
        <v>0.55044731974379324</v>
      </c>
      <c r="I34" s="5">
        <f t="shared" si="6"/>
        <v>0.66053678369255198</v>
      </c>
      <c r="J34" s="5">
        <f t="shared" si="7"/>
        <v>0.7706262476413106</v>
      </c>
    </row>
    <row r="35" spans="2:10" x14ac:dyDescent="0.15">
      <c r="B35" s="2">
        <v>33</v>
      </c>
      <c r="C35" s="2">
        <f t="shared" si="0"/>
        <v>34</v>
      </c>
      <c r="D35" s="3">
        <f t="shared" si="1"/>
        <v>7.374552189794306</v>
      </c>
      <c r="E35" s="3">
        <f t="shared" si="2"/>
        <v>17.030798767722747</v>
      </c>
      <c r="F35" s="5">
        <f t="shared" si="3"/>
        <v>0.10850749496704958</v>
      </c>
      <c r="G35" s="5">
        <f t="shared" si="4"/>
        <v>0.4340299798681983</v>
      </c>
      <c r="H35" s="5">
        <f t="shared" si="5"/>
        <v>0.54253747483524783</v>
      </c>
      <c r="I35" s="5">
        <f t="shared" si="6"/>
        <v>0.65104496980229742</v>
      </c>
      <c r="J35" s="5">
        <f t="shared" si="7"/>
        <v>0.75955246476934701</v>
      </c>
    </row>
    <row r="36" spans="2:10" x14ac:dyDescent="0.15">
      <c r="B36" s="2">
        <v>34</v>
      </c>
      <c r="C36" s="2">
        <f t="shared" si="0"/>
        <v>35</v>
      </c>
      <c r="D36" s="3">
        <f t="shared" si="1"/>
        <v>7.4822155809626327</v>
      </c>
      <c r="E36" s="3">
        <f t="shared" si="2"/>
        <v>17.279436719214353</v>
      </c>
      <c r="F36" s="5">
        <f t="shared" si="3"/>
        <v>0.10699176068236509</v>
      </c>
      <c r="G36" s="5">
        <f t="shared" si="4"/>
        <v>0.42796704272946035</v>
      </c>
      <c r="H36" s="5">
        <f t="shared" si="5"/>
        <v>0.53495880341182545</v>
      </c>
      <c r="I36" s="5">
        <f t="shared" si="6"/>
        <v>0.64195056409419049</v>
      </c>
      <c r="J36" s="5">
        <f t="shared" si="7"/>
        <v>0.74894232477655565</v>
      </c>
    </row>
    <row r="37" spans="2:10" x14ac:dyDescent="0.15">
      <c r="B37" s="2">
        <v>35</v>
      </c>
      <c r="C37" s="2">
        <f t="shared" si="0"/>
        <v>36</v>
      </c>
      <c r="D37" s="3">
        <f t="shared" si="1"/>
        <v>7.5883515996558826</v>
      </c>
      <c r="E37" s="3">
        <f t="shared" si="2"/>
        <v>17.524547355067401</v>
      </c>
      <c r="F37" s="5">
        <f t="shared" si="3"/>
        <v>0.1055377686488838</v>
      </c>
      <c r="G37" s="5">
        <f t="shared" si="4"/>
        <v>0.42215107459553519</v>
      </c>
      <c r="H37" s="5">
        <f t="shared" si="5"/>
        <v>0.527688843244419</v>
      </c>
      <c r="I37" s="5">
        <f t="shared" si="6"/>
        <v>0.63322661189330276</v>
      </c>
      <c r="J37" s="5">
        <f t="shared" si="7"/>
        <v>0.73876438054218663</v>
      </c>
    </row>
    <row r="38" spans="2:10" x14ac:dyDescent="0.15">
      <c r="B38" s="2">
        <v>36</v>
      </c>
      <c r="C38" s="2">
        <f t="shared" si="0"/>
        <v>37</v>
      </c>
      <c r="D38" s="3">
        <f t="shared" si="1"/>
        <v>7.69302346285256</v>
      </c>
      <c r="E38" s="3">
        <f t="shared" si="2"/>
        <v>17.766276668640128</v>
      </c>
      <c r="F38" s="5">
        <f t="shared" si="3"/>
        <v>0.10414144137137481</v>
      </c>
      <c r="G38" s="5">
        <f t="shared" si="4"/>
        <v>0.41656576548549923</v>
      </c>
      <c r="H38" s="5">
        <f t="shared" si="5"/>
        <v>0.52070720685687399</v>
      </c>
      <c r="I38" s="5">
        <f t="shared" si="6"/>
        <v>0.62484864822824882</v>
      </c>
      <c r="J38" s="5">
        <f t="shared" si="7"/>
        <v>0.72899008959962364</v>
      </c>
    </row>
    <row r="39" spans="2:10" x14ac:dyDescent="0.15">
      <c r="B39" s="2">
        <v>37</v>
      </c>
      <c r="C39" s="2">
        <f t="shared" si="0"/>
        <v>38</v>
      </c>
      <c r="D39" s="3">
        <f t="shared" si="1"/>
        <v>7.796290143395125</v>
      </c>
      <c r="E39" s="3">
        <f t="shared" si="2"/>
        <v>18.004760851878405</v>
      </c>
      <c r="F39" s="5">
        <f t="shared" si="3"/>
        <v>0.10279906833717693</v>
      </c>
      <c r="G39" s="5">
        <f t="shared" si="4"/>
        <v>0.41119627334870773</v>
      </c>
      <c r="H39" s="5">
        <f t="shared" si="5"/>
        <v>0.51399534168588468</v>
      </c>
      <c r="I39" s="5">
        <f t="shared" si="6"/>
        <v>0.61679441002306157</v>
      </c>
      <c r="J39" s="5">
        <f t="shared" si="7"/>
        <v>0.71959347836023857</v>
      </c>
    </row>
    <row r="40" spans="2:10" x14ac:dyDescent="0.15">
      <c r="B40" s="2">
        <v>38</v>
      </c>
      <c r="C40" s="2">
        <f t="shared" si="0"/>
        <v>39</v>
      </c>
      <c r="D40" s="3">
        <f t="shared" si="1"/>
        <v>7.898206758499045</v>
      </c>
      <c r="E40" s="3">
        <f t="shared" si="2"/>
        <v>18.240127192538981</v>
      </c>
      <c r="F40" s="5">
        <f t="shared" si="3"/>
        <v>0.1015072646497485</v>
      </c>
      <c r="G40" s="5">
        <f t="shared" si="4"/>
        <v>0.40602905859899402</v>
      </c>
      <c r="H40" s="5">
        <f t="shared" si="5"/>
        <v>0.50753632324874254</v>
      </c>
      <c r="I40" s="5">
        <f t="shared" si="6"/>
        <v>0.609043587898491</v>
      </c>
      <c r="J40" s="5">
        <f t="shared" si="7"/>
        <v>0.71055085254823958</v>
      </c>
    </row>
    <row r="41" spans="2:10" x14ac:dyDescent="0.15">
      <c r="B41" s="2">
        <v>39</v>
      </c>
      <c r="C41" s="2">
        <f t="shared" si="0"/>
        <v>40</v>
      </c>
      <c r="D41" s="3">
        <f t="shared" si="1"/>
        <v>7.998824913698261</v>
      </c>
      <c r="E41" s="3">
        <f t="shared" si="2"/>
        <v>18.472494868497503</v>
      </c>
      <c r="F41" s="5">
        <f t="shared" si="3"/>
        <v>0.10026293521723732</v>
      </c>
      <c r="G41" s="5">
        <f t="shared" si="4"/>
        <v>0.40105174086894929</v>
      </c>
      <c r="H41" s="5">
        <f t="shared" si="5"/>
        <v>0.50131467608618663</v>
      </c>
      <c r="I41" s="5">
        <f t="shared" si="6"/>
        <v>0.60157761130342391</v>
      </c>
      <c r="J41" s="5">
        <f t="shared" si="7"/>
        <v>0.7018405465206613</v>
      </c>
    </row>
    <row r="42" spans="2:10" x14ac:dyDescent="0.15">
      <c r="B42" s="2">
        <v>40</v>
      </c>
      <c r="C42" s="2">
        <f t="shared" si="0"/>
        <v>41</v>
      </c>
      <c r="D42" s="3">
        <f t="shared" si="1"/>
        <v>8.0981930083198197</v>
      </c>
      <c r="E42" s="3">
        <f t="shared" si="2"/>
        <v>18.701975653211971</v>
      </c>
      <c r="F42" s="5">
        <f t="shared" si="3"/>
        <v>9.9063243636222084E-2</v>
      </c>
      <c r="G42" s="5">
        <f t="shared" si="4"/>
        <v>0.39625297454488834</v>
      </c>
      <c r="H42" s="5">
        <f t="shared" si="5"/>
        <v>0.49531621818111043</v>
      </c>
      <c r="I42" s="5">
        <f t="shared" si="6"/>
        <v>0.59437946181733248</v>
      </c>
      <c r="J42" s="5">
        <f t="shared" si="7"/>
        <v>0.69344270545355458</v>
      </c>
    </row>
    <row r="43" spans="2:10" x14ac:dyDescent="0.15">
      <c r="B43" s="2">
        <v>41</v>
      </c>
      <c r="C43" s="2">
        <f t="shared" si="0"/>
        <v>42</v>
      </c>
      <c r="D43" s="3">
        <f t="shared" si="1"/>
        <v>8.1963565076197114</v>
      </c>
      <c r="E43" s="3">
        <f t="shared" si="2"/>
        <v>18.928674544193523</v>
      </c>
      <c r="F43" s="5">
        <f t="shared" si="3"/>
        <v>9.7905585060644784E-2</v>
      </c>
      <c r="G43" s="5">
        <f t="shared" si="4"/>
        <v>0.39162234024257914</v>
      </c>
      <c r="H43" s="5">
        <f t="shared" si="5"/>
        <v>0.48952792530322392</v>
      </c>
      <c r="I43" s="5">
        <f t="shared" si="6"/>
        <v>0.58743351036386871</v>
      </c>
      <c r="J43" s="5">
        <f t="shared" si="7"/>
        <v>0.68533909542451354</v>
      </c>
    </row>
    <row r="44" spans="2:10" x14ac:dyDescent="0.15">
      <c r="B44" s="2">
        <v>42</v>
      </c>
      <c r="C44" s="2">
        <f t="shared" si="0"/>
        <v>43</v>
      </c>
      <c r="D44" s="3">
        <f t="shared" si="1"/>
        <v>8.2933581859220329</v>
      </c>
      <c r="E44" s="3">
        <f t="shared" si="2"/>
        <v>19.152690324512289</v>
      </c>
      <c r="F44" s="5">
        <f t="shared" si="3"/>
        <v>9.6787562466911406E-2</v>
      </c>
      <c r="G44" s="5">
        <f t="shared" si="4"/>
        <v>0.38715024986764562</v>
      </c>
      <c r="H44" s="5">
        <f t="shared" si="5"/>
        <v>0.48393781233455702</v>
      </c>
      <c r="I44" s="5">
        <f t="shared" si="6"/>
        <v>0.58072537480146846</v>
      </c>
      <c r="J44" s="5">
        <f t="shared" si="7"/>
        <v>0.6775129372683798</v>
      </c>
    </row>
    <row r="45" spans="2:10" x14ac:dyDescent="0.15">
      <c r="B45" s="2">
        <v>43</v>
      </c>
      <c r="C45" s="2">
        <f t="shared" si="0"/>
        <v>44</v>
      </c>
      <c r="D45" s="3">
        <f t="shared" si="1"/>
        <v>8.389238344450586</v>
      </c>
      <c r="E45" s="3">
        <f t="shared" si="2"/>
        <v>19.374116065857905</v>
      </c>
      <c r="F45" s="5">
        <f t="shared" si="3"/>
        <v>9.5706965824284701E-2</v>
      </c>
      <c r="G45" s="5">
        <f t="shared" si="4"/>
        <v>0.3828278632971388</v>
      </c>
      <c r="H45" s="5">
        <f t="shared" si="5"/>
        <v>0.47853482912142353</v>
      </c>
      <c r="I45" s="5">
        <f t="shared" si="6"/>
        <v>0.57424179494570815</v>
      </c>
      <c r="J45" s="5">
        <f t="shared" si="7"/>
        <v>0.66994876076999288</v>
      </c>
    </row>
    <row r="46" spans="2:10" x14ac:dyDescent="0.15">
      <c r="B46" s="2">
        <v>44</v>
      </c>
      <c r="C46" s="2">
        <f t="shared" si="0"/>
        <v>45</v>
      </c>
      <c r="D46" s="3">
        <f t="shared" si="1"/>
        <v>8.4840350069999122</v>
      </c>
      <c r="E46" s="3">
        <f t="shared" si="2"/>
        <v>19.593039580422431</v>
      </c>
      <c r="F46" s="5">
        <f t="shared" si="3"/>
        <v>9.4661753759715903E-2</v>
      </c>
      <c r="G46" s="5">
        <f t="shared" si="4"/>
        <v>0.37864701503886361</v>
      </c>
      <c r="H46" s="5">
        <f t="shared" si="5"/>
        <v>0.47330876879857953</v>
      </c>
      <c r="I46" s="5">
        <f t="shared" si="6"/>
        <v>0.56797052255829539</v>
      </c>
      <c r="J46" s="5">
        <f t="shared" si="7"/>
        <v>0.66263227631801136</v>
      </c>
    </row>
    <row r="47" spans="2:10" x14ac:dyDescent="0.15">
      <c r="B47" s="2">
        <v>45</v>
      </c>
      <c r="C47" s="2">
        <f t="shared" si="0"/>
        <v>46</v>
      </c>
      <c r="D47" s="3">
        <f t="shared" si="1"/>
        <v>8.5777840961404479</v>
      </c>
      <c r="E47" s="3">
        <f t="shared" si="2"/>
        <v>19.809543827828712</v>
      </c>
      <c r="F47" s="5">
        <f t="shared" si="3"/>
        <v>9.3650037371830919E-2</v>
      </c>
      <c r="G47" s="5">
        <f t="shared" si="4"/>
        <v>0.37460014948732367</v>
      </c>
      <c r="H47" s="5">
        <f t="shared" si="5"/>
        <v>0.46825018685915459</v>
      </c>
      <c r="I47" s="5">
        <f t="shared" si="6"/>
        <v>0.56190022423098551</v>
      </c>
      <c r="J47" s="5">
        <f t="shared" si="7"/>
        <v>0.65555026160281638</v>
      </c>
    </row>
    <row r="48" spans="2:10" x14ac:dyDescent="0.15">
      <c r="B48" s="2">
        <v>46</v>
      </c>
      <c r="C48" s="2">
        <f t="shared" si="0"/>
        <v>47</v>
      </c>
      <c r="D48" s="3">
        <f t="shared" si="1"/>
        <v>8.67051959227358</v>
      </c>
      <c r="E48" s="3">
        <f t="shared" si="2"/>
        <v>20.023707282452303</v>
      </c>
      <c r="F48" s="5">
        <f t="shared" si="3"/>
        <v>9.2670065902748344E-2</v>
      </c>
      <c r="G48" s="5">
        <f t="shared" si="4"/>
        <v>0.37068026361099338</v>
      </c>
      <c r="H48" s="5">
        <f t="shared" si="5"/>
        <v>0.46335032951374172</v>
      </c>
      <c r="I48" s="5">
        <f t="shared" si="6"/>
        <v>0.55602039541649007</v>
      </c>
      <c r="J48" s="5">
        <f t="shared" si="7"/>
        <v>0.64869046131923835</v>
      </c>
    </row>
    <row r="49" spans="2:10" x14ac:dyDescent="0.15">
      <c r="B49" s="2">
        <v>47</v>
      </c>
      <c r="C49" s="2">
        <f t="shared" si="0"/>
        <v>48</v>
      </c>
      <c r="D49" s="3">
        <f t="shared" si="1"/>
        <v>8.7622736775337025</v>
      </c>
      <c r="E49" s="3">
        <f t="shared" si="2"/>
        <v>20.235604265749021</v>
      </c>
      <c r="F49" s="5">
        <f t="shared" si="3"/>
        <v>9.1720214021012644E-2</v>
      </c>
      <c r="G49" s="5">
        <f t="shared" si="4"/>
        <v>0.36688085608405058</v>
      </c>
      <c r="H49" s="5">
        <f t="shared" si="5"/>
        <v>0.45860107010506324</v>
      </c>
      <c r="I49" s="5">
        <f t="shared" si="6"/>
        <v>0.55032128412607584</v>
      </c>
      <c r="J49" s="5">
        <f t="shared" si="7"/>
        <v>0.64204149814708855</v>
      </c>
    </row>
    <row r="50" spans="2:10" x14ac:dyDescent="0.15">
      <c r="B50" s="2">
        <v>48</v>
      </c>
      <c r="C50" s="2">
        <f t="shared" si="0"/>
        <v>49</v>
      </c>
      <c r="D50" s="3">
        <f t="shared" si="1"/>
        <v>8.853076866265198</v>
      </c>
      <c r="E50" s="3">
        <f t="shared" si="2"/>
        <v>20.445305247578641</v>
      </c>
      <c r="F50" s="5">
        <f t="shared" si="3"/>
        <v>9.0798970505950455E-2</v>
      </c>
      <c r="G50" s="5">
        <f t="shared" si="4"/>
        <v>0.36319588202380182</v>
      </c>
      <c r="H50" s="5">
        <f t="shared" si="5"/>
        <v>0.45399485252975225</v>
      </c>
      <c r="I50" s="5">
        <f t="shared" si="6"/>
        <v>0.54479382303570278</v>
      </c>
      <c r="J50" s="5">
        <f t="shared" si="7"/>
        <v>0.63559279354165321</v>
      </c>
    </row>
    <row r="51" spans="2:10" x14ac:dyDescent="0.15">
      <c r="B51" s="2">
        <v>49</v>
      </c>
      <c r="C51" s="2">
        <f t="shared" si="0"/>
        <v>50</v>
      </c>
      <c r="D51" s="3">
        <f t="shared" si="1"/>
        <v>8.9429581235740994</v>
      </c>
      <c r="E51" s="3">
        <f t="shared" si="2"/>
        <v>20.652877119988226</v>
      </c>
      <c r="F51" s="5">
        <f t="shared" si="3"/>
        <v>8.9904928154615218E-2</v>
      </c>
      <c r="G51" s="5">
        <f t="shared" si="4"/>
        <v>0.35961971261846087</v>
      </c>
      <c r="H51" s="5">
        <f t="shared" si="5"/>
        <v>0.44952464077307608</v>
      </c>
      <c r="I51" s="5">
        <f t="shared" si="6"/>
        <v>0.53942956892769134</v>
      </c>
      <c r="J51" s="5">
        <f t="shared" si="7"/>
        <v>0.62933449708230649</v>
      </c>
    </row>
    <row r="52" spans="2:10" x14ac:dyDescent="0.15">
      <c r="B52" s="2">
        <v>50</v>
      </c>
      <c r="C52" s="2">
        <f t="shared" si="0"/>
        <v>51</v>
      </c>
      <c r="D52" s="3">
        <f t="shared" si="1"/>
        <v>9.03194497326019</v>
      </c>
      <c r="E52" s="3">
        <f t="shared" si="2"/>
        <v>20.858383446470629</v>
      </c>
      <c r="F52" s="5">
        <f t="shared" si="3"/>
        <v>8.9036774758293247E-2</v>
      </c>
      <c r="G52" s="5">
        <f t="shared" si="4"/>
        <v>0.35614709903317299</v>
      </c>
      <c r="H52" s="5">
        <f t="shared" si="5"/>
        <v>0.44518387379146623</v>
      </c>
      <c r="I52" s="5">
        <f t="shared" si="6"/>
        <v>0.53422064854975948</v>
      </c>
      <c r="J52" s="5">
        <f t="shared" si="7"/>
        <v>0.62325742330805278</v>
      </c>
    </row>
    <row r="53" spans="2:10" x14ac:dyDescent="0.15">
      <c r="B53" s="2">
        <v>51</v>
      </c>
      <c r="C53" s="2">
        <f t="shared" si="0"/>
        <v>52</v>
      </c>
      <c r="D53" s="3">
        <f t="shared" si="1"/>
        <v>9.1200635962694907</v>
      </c>
      <c r="E53" s="3">
        <f t="shared" si="2"/>
        <v>21.061884689330785</v>
      </c>
      <c r="F53" s="5">
        <f t="shared" si="3"/>
        <v>8.8193285017220374E-2</v>
      </c>
      <c r="G53" s="5">
        <f t="shared" si="4"/>
        <v>0.3527731400688815</v>
      </c>
      <c r="H53" s="5">
        <f t="shared" si="5"/>
        <v>0.44096642508610184</v>
      </c>
      <c r="I53" s="5">
        <f t="shared" si="6"/>
        <v>0.5291597101033223</v>
      </c>
      <c r="J53" s="5">
        <f t="shared" si="7"/>
        <v>0.61735299512054265</v>
      </c>
    </row>
    <row r="54" spans="2:10" x14ac:dyDescent="0.15">
      <c r="B54" s="2">
        <v>52</v>
      </c>
      <c r="C54" s="2">
        <f t="shared" si="0"/>
        <v>53</v>
      </c>
      <c r="D54" s="3">
        <f t="shared" si="1"/>
        <v>9.2073389206654053</v>
      </c>
      <c r="E54" s="3">
        <f t="shared" si="2"/>
        <v>21.26343841746516</v>
      </c>
      <c r="F54" s="5">
        <f t="shared" si="3"/>
        <v>8.7373313280412104E-2</v>
      </c>
      <c r="G54" s="5">
        <f t="shared" si="4"/>
        <v>0.34949325312164842</v>
      </c>
      <c r="H54" s="5">
        <f t="shared" si="5"/>
        <v>0.43686656640206051</v>
      </c>
      <c r="I54" s="5">
        <f t="shared" si="6"/>
        <v>0.52423987968247265</v>
      </c>
      <c r="J54" s="5">
        <f t="shared" si="7"/>
        <v>0.61161319296288474</v>
      </c>
    </row>
    <row r="55" spans="2:10" x14ac:dyDescent="0.15">
      <c r="B55" s="2">
        <v>53</v>
      </c>
      <c r="C55" s="2">
        <f t="shared" si="0"/>
        <v>54</v>
      </c>
      <c r="D55" s="3">
        <f t="shared" si="1"/>
        <v>9.2937947039947026</v>
      </c>
      <c r="E55" s="3">
        <f t="shared" si="2"/>
        <v>21.46309949657784</v>
      </c>
      <c r="F55" s="5">
        <f t="shared" si="3"/>
        <v>8.6575787012951919E-2</v>
      </c>
      <c r="G55" s="5">
        <f t="shared" si="4"/>
        <v>0.34630314805180767</v>
      </c>
      <c r="H55" s="5">
        <f t="shared" si="5"/>
        <v>0.43287893506475961</v>
      </c>
      <c r="I55" s="5">
        <f t="shared" si="6"/>
        <v>0.51945472207771148</v>
      </c>
      <c r="J55" s="5">
        <f t="shared" si="7"/>
        <v>0.60603050909066347</v>
      </c>
    </row>
    <row r="56" spans="2:10" x14ac:dyDescent="0.15">
      <c r="B56" s="2">
        <v>54</v>
      </c>
      <c r="C56" s="2">
        <f t="shared" si="0"/>
        <v>55</v>
      </c>
      <c r="D56" s="3">
        <f t="shared" si="1"/>
        <v>9.3794536088196523</v>
      </c>
      <c r="E56" s="3">
        <f t="shared" si="2"/>
        <v>21.660920263614532</v>
      </c>
      <c r="F56" s="5">
        <f t="shared" si="3"/>
        <v>8.5799700906170603E-2</v>
      </c>
      <c r="G56" s="5">
        <f t="shared" si="4"/>
        <v>0.34319880362468241</v>
      </c>
      <c r="H56" s="5">
        <f t="shared" si="5"/>
        <v>0.42899850453085303</v>
      </c>
      <c r="I56" s="5">
        <f t="shared" si="6"/>
        <v>0.51479820543702359</v>
      </c>
      <c r="J56" s="5">
        <f t="shared" si="7"/>
        <v>0.60059790634319421</v>
      </c>
    </row>
    <row r="57" spans="2:10" x14ac:dyDescent="0.15">
      <c r="B57" s="2">
        <v>55</v>
      </c>
      <c r="C57" s="2">
        <f t="shared" si="0"/>
        <v>56</v>
      </c>
      <c r="D57" s="3">
        <f t="shared" si="1"/>
        <v>9.4643372720967633</v>
      </c>
      <c r="E57" s="3">
        <f t="shared" si="2"/>
        <v>21.856950686985897</v>
      </c>
      <c r="F57" s="5">
        <f t="shared" si="3"/>
        <v>8.5044111557290844E-2</v>
      </c>
      <c r="G57" s="5">
        <f t="shared" si="4"/>
        <v>0.34017644622916338</v>
      </c>
      <c r="H57" s="5">
        <f t="shared" si="5"/>
        <v>0.42522055778645423</v>
      </c>
      <c r="I57" s="5">
        <f t="shared" si="6"/>
        <v>0.51026466934374504</v>
      </c>
      <c r="J57" s="5">
        <f t="shared" si="7"/>
        <v>0.59530878090103589</v>
      </c>
    </row>
    <row r="58" spans="2:10" x14ac:dyDescent="0.15">
      <c r="B58" s="2">
        <v>56</v>
      </c>
      <c r="C58" s="2">
        <f t="shared" si="0"/>
        <v>57</v>
      </c>
      <c r="D58" s="3">
        <f t="shared" si="1"/>
        <v>9.5484663690039771</v>
      </c>
      <c r="E58" s="3">
        <f t="shared" si="2"/>
        <v>22.051238513970137</v>
      </c>
      <c r="F58" s="5">
        <f t="shared" si="3"/>
        <v>8.4308132654615522E-2</v>
      </c>
      <c r="G58" s="5">
        <f t="shared" si="4"/>
        <v>0.33723253061846209</v>
      </c>
      <c r="H58" s="5">
        <f t="shared" si="5"/>
        <v>0.4215406632730776</v>
      </c>
      <c r="I58" s="5">
        <f t="shared" si="6"/>
        <v>0.50584879592769316</v>
      </c>
      <c r="J58" s="5">
        <f t="shared" si="7"/>
        <v>0.59015692858230862</v>
      </c>
    </row>
    <row r="59" spans="2:10" x14ac:dyDescent="0.15">
      <c r="B59" s="2">
        <v>57</v>
      </c>
      <c r="C59" s="2">
        <f t="shared" si="0"/>
        <v>58</v>
      </c>
      <c r="D59" s="3">
        <f t="shared" si="1"/>
        <v>9.6318606717497737</v>
      </c>
      <c r="E59" s="3">
        <f t="shared" si="2"/>
        <v>22.243829406526803</v>
      </c>
      <c r="F59" s="5">
        <f t="shared" si="3"/>
        <v>8.3590930612474065E-2</v>
      </c>
      <c r="G59" s="5">
        <f t="shared" si="4"/>
        <v>0.33436372244989626</v>
      </c>
      <c r="H59" s="5">
        <f t="shared" si="5"/>
        <v>0.41795465306237034</v>
      </c>
      <c r="I59" s="5">
        <f t="shared" si="6"/>
        <v>0.50154558367484436</v>
      </c>
      <c r="J59" s="5">
        <f t="shared" si="7"/>
        <v>0.5851365142873185</v>
      </c>
    </row>
    <row r="60" spans="2:10" x14ac:dyDescent="0.15">
      <c r="B60" s="2">
        <v>58</v>
      </c>
      <c r="C60" s="2">
        <f t="shared" si="0"/>
        <v>59</v>
      </c>
      <c r="D60" s="3">
        <f t="shared" si="1"/>
        <v>9.7145391038381224</v>
      </c>
      <c r="E60" s="3">
        <f t="shared" si="2"/>
        <v>22.434767066616342</v>
      </c>
      <c r="F60" s="5">
        <f t="shared" si="3"/>
        <v>8.2891720607122049E-2</v>
      </c>
      <c r="G60" s="5">
        <f t="shared" si="4"/>
        <v>0.3315668824284882</v>
      </c>
      <c r="H60" s="5">
        <f t="shared" si="5"/>
        <v>0.41445860303561022</v>
      </c>
      <c r="I60" s="5">
        <f t="shared" si="6"/>
        <v>0.49735032364273229</v>
      </c>
      <c r="J60" s="5">
        <f t="shared" si="7"/>
        <v>0.58024204424985437</v>
      </c>
    </row>
    <row r="61" spans="2:10" x14ac:dyDescent="0.15">
      <c r="B61" s="2">
        <v>59</v>
      </c>
      <c r="C61" s="2">
        <f t="shared" si="0"/>
        <v>60</v>
      </c>
      <c r="D61" s="3">
        <f t="shared" si="1"/>
        <v>9.7965197902112156</v>
      </c>
      <c r="E61" s="3">
        <f t="shared" si="2"/>
        <v>22.624093351999765</v>
      </c>
      <c r="F61" s="5">
        <f t="shared" si="3"/>
        <v>8.2209762970798544E-2</v>
      </c>
      <c r="G61" s="5">
        <f t="shared" si="4"/>
        <v>0.32883905188319418</v>
      </c>
      <c r="H61" s="5">
        <f t="shared" si="5"/>
        <v>0.41104881485399269</v>
      </c>
      <c r="I61" s="5">
        <f t="shared" si="6"/>
        <v>0.49325857782479127</v>
      </c>
      <c r="J61" s="5">
        <f t="shared" si="7"/>
        <v>0.57546834079558984</v>
      </c>
    </row>
    <row r="62" spans="2:10" x14ac:dyDescent="0.15">
      <c r="B62" s="2">
        <v>60</v>
      </c>
      <c r="C62" s="2">
        <f t="shared" si="0"/>
        <v>61</v>
      </c>
      <c r="D62" s="3">
        <f t="shared" si="1"/>
        <v>9.87782010364635</v>
      </c>
      <c r="E62" s="3">
        <f t="shared" si="2"/>
        <v>22.81184838338767</v>
      </c>
      <c r="F62" s="5">
        <f t="shared" si="3"/>
        <v>8.1544359906328107E-2</v>
      </c>
      <c r="G62" s="5">
        <f t="shared" si="4"/>
        <v>0.32617743962531243</v>
      </c>
      <c r="H62" s="5">
        <f t="shared" si="5"/>
        <v>0.40772179953164056</v>
      </c>
      <c r="I62" s="5">
        <f t="shared" si="6"/>
        <v>0.48926615943796864</v>
      </c>
      <c r="J62" s="5">
        <f t="shared" si="7"/>
        <v>0.57081051934429672</v>
      </c>
    </row>
    <row r="63" spans="2:10" x14ac:dyDescent="0.15">
      <c r="B63" s="2">
        <v>61</v>
      </c>
      <c r="C63" s="2">
        <f t="shared" si="0"/>
        <v>62</v>
      </c>
      <c r="D63" s="3">
        <f t="shared" si="1"/>
        <v>9.958456707743423</v>
      </c>
      <c r="E63" s="3">
        <f t="shared" si="2"/>
        <v>22.998070643715597</v>
      </c>
      <c r="F63" s="5">
        <f t="shared" si="3"/>
        <v>8.0894852489138774E-2</v>
      </c>
      <c r="G63" s="5">
        <f t="shared" si="4"/>
        <v>0.3235794099565551</v>
      </c>
      <c r="H63" s="5">
        <f t="shared" si="5"/>
        <v>0.40447426244569384</v>
      </c>
      <c r="I63" s="5">
        <f t="shared" si="6"/>
        <v>0.48536911493483265</v>
      </c>
      <c r="J63" s="5">
        <f t="shared" si="7"/>
        <v>0.56626396742397145</v>
      </c>
    </row>
    <row r="64" spans="2:10" x14ac:dyDescent="0.15">
      <c r="B64" s="2">
        <v>62</v>
      </c>
      <c r="C64" s="2">
        <f t="shared" si="0"/>
        <v>63</v>
      </c>
      <c r="D64" s="3">
        <f t="shared" si="1"/>
        <v>10.038445596804317</v>
      </c>
      <c r="E64" s="3">
        <f t="shared" si="2"/>
        <v>23.182797070241545</v>
      </c>
      <c r="F64" s="5">
        <f t="shared" si="3"/>
        <v>8.0260617927454911E-2</v>
      </c>
      <c r="G64" s="5">
        <f t="shared" si="4"/>
        <v>0.32104247170981964</v>
      </c>
      <c r="H64" s="5">
        <f t="shared" si="5"/>
        <v>0.40130308963727457</v>
      </c>
      <c r="I64" s="5">
        <f t="shared" si="6"/>
        <v>0.48156370756472944</v>
      </c>
      <c r="J64" s="5">
        <f t="shared" si="7"/>
        <v>0.56182432549218442</v>
      </c>
    </row>
    <row r="65" spans="2:10" x14ac:dyDescent="0.15">
      <c r="B65" s="2">
        <v>63</v>
      </c>
      <c r="C65" s="2">
        <f t="shared" si="0"/>
        <v>64</v>
      </c>
      <c r="D65" s="3">
        <f t="shared" si="1"/>
        <v>10.117802132874511</v>
      </c>
      <c r="E65" s="3">
        <f t="shared" si="2"/>
        <v>23.366063140089874</v>
      </c>
      <c r="F65" s="5">
        <f t="shared" si="3"/>
        <v>7.964106705480245E-2</v>
      </c>
      <c r="G65" s="5">
        <f t="shared" si="4"/>
        <v>0.3185642682192098</v>
      </c>
      <c r="H65" s="5">
        <f t="shared" si="5"/>
        <v>0.39820533527401225</v>
      </c>
      <c r="I65" s="5">
        <f t="shared" si="6"/>
        <v>0.4778464023288147</v>
      </c>
      <c r="J65" s="5">
        <f t="shared" si="7"/>
        <v>0.55748746938361715</v>
      </c>
    </row>
    <row r="66" spans="2:10" x14ac:dyDescent="0.15">
      <c r="B66" s="2">
        <v>64</v>
      </c>
      <c r="C66" s="2">
        <f t="shared" si="0"/>
        <v>65</v>
      </c>
      <c r="D66" s="3">
        <f t="shared" si="1"/>
        <v>10.19654108018989</v>
      </c>
      <c r="E66" s="3">
        <f t="shared" si="2"/>
        <v>23.547902949802843</v>
      </c>
      <c r="F66" s="5">
        <f t="shared" si="3"/>
        <v>7.903564203190637E-2</v>
      </c>
      <c r="G66" s="5">
        <f t="shared" si="4"/>
        <v>0.31614256812762548</v>
      </c>
      <c r="H66" s="5">
        <f t="shared" si="5"/>
        <v>0.39517821015953186</v>
      </c>
      <c r="I66" s="5">
        <f t="shared" si="6"/>
        <v>0.47421385219143819</v>
      </c>
      <c r="J66" s="5">
        <f t="shared" si="7"/>
        <v>0.55324949422334457</v>
      </c>
    </row>
    <row r="67" spans="2:10" x14ac:dyDescent="0.15">
      <c r="B67" s="2">
        <v>65</v>
      </c>
      <c r="C67" s="2">
        <f t="shared" si="0"/>
        <v>66</v>
      </c>
      <c r="D67" s="3">
        <f t="shared" si="1"/>
        <v>10.27467663724752</v>
      </c>
      <c r="E67" s="3">
        <f t="shared" si="2"/>
        <v>23.728349289404857</v>
      </c>
      <c r="F67" s="5">
        <f t="shared" si="3"/>
        <v>7.8443814237631193E-2</v>
      </c>
      <c r="G67" s="5">
        <f t="shared" si="4"/>
        <v>0.31377525695052477</v>
      </c>
      <c r="H67" s="5">
        <f t="shared" si="5"/>
        <v>0.39221907118815597</v>
      </c>
      <c r="I67" s="5">
        <f t="shared" si="6"/>
        <v>0.47066288542578716</v>
      </c>
      <c r="J67" s="5">
        <f t="shared" si="7"/>
        <v>0.54910669966341841</v>
      </c>
    </row>
    <row r="68" spans="2:10" x14ac:dyDescent="0.15">
      <c r="B68" s="2">
        <v>66</v>
      </c>
      <c r="C68" s="2">
        <f t="shared" ref="C68:C102" si="8">B68+1</f>
        <v>67</v>
      </c>
      <c r="D68" s="3">
        <f t="shared" ref="D68:D102" si="9">0.97*(1.7*C68)^0.5</f>
        <v>10.35222246669767</v>
      </c>
      <c r="E68" s="3">
        <f t="shared" ref="E68:E102" si="10">4*3^0.5*D68/3</f>
        <v>23.907433711435164</v>
      </c>
      <c r="F68" s="5">
        <f t="shared" ref="F68:F102" si="11">(8+16*B68)/E68^3</f>
        <v>7.7865082330861229E-2</v>
      </c>
      <c r="G68" s="5">
        <f t="shared" ref="G68:G102" si="12">F68*4</f>
        <v>0.31146032932344492</v>
      </c>
      <c r="H68" s="5">
        <f t="shared" ref="H68:H102" si="13">F68*5</f>
        <v>0.38932541165430612</v>
      </c>
      <c r="I68" s="5">
        <f t="shared" ref="I68:I102" si="14">F68*6</f>
        <v>0.46719049398516738</v>
      </c>
      <c r="J68" s="5">
        <f t="shared" ref="J68:J102" si="15">F68*7</f>
        <v>0.54505557631602863</v>
      </c>
    </row>
    <row r="69" spans="2:10" x14ac:dyDescent="0.15">
      <c r="B69" s="2">
        <v>67</v>
      </c>
      <c r="C69" s="2">
        <f t="shared" si="8"/>
        <v>68</v>
      </c>
      <c r="D69" s="3">
        <f t="shared" si="9"/>
        <v>10.429191723235315</v>
      </c>
      <c r="E69" s="3">
        <f t="shared" si="10"/>
        <v>24.085186595360501</v>
      </c>
      <c r="F69" s="5">
        <f t="shared" si="11"/>
        <v>7.7298970467189587E-2</v>
      </c>
      <c r="G69" s="5">
        <f t="shared" si="12"/>
        <v>0.30919588186875835</v>
      </c>
      <c r="H69" s="5">
        <f t="shared" si="13"/>
        <v>0.38649485233594794</v>
      </c>
      <c r="I69" s="5">
        <f t="shared" si="14"/>
        <v>0.46379382280313752</v>
      </c>
      <c r="J69" s="5">
        <f t="shared" si="15"/>
        <v>0.54109279327032711</v>
      </c>
    </row>
    <row r="70" spans="2:10" x14ac:dyDescent="0.15">
      <c r="B70" s="2">
        <v>68</v>
      </c>
      <c r="C70" s="2">
        <f t="shared" si="8"/>
        <v>69</v>
      </c>
      <c r="D70" s="3">
        <f t="shared" si="9"/>
        <v>10.50559707965235</v>
      </c>
      <c r="E70" s="3">
        <f t="shared" si="10"/>
        <v>24.261637207740122</v>
      </c>
      <c r="F70" s="5">
        <f t="shared" si="11"/>
        <v>7.6745026656014334E-2</v>
      </c>
      <c r="G70" s="5">
        <f t="shared" si="12"/>
        <v>0.30698010662405734</v>
      </c>
      <c r="H70" s="5">
        <f t="shared" si="13"/>
        <v>0.38372513328007168</v>
      </c>
      <c r="I70" s="5">
        <f t="shared" si="14"/>
        <v>0.46047015993608598</v>
      </c>
      <c r="J70" s="5">
        <f t="shared" si="15"/>
        <v>0.53721518659210032</v>
      </c>
    </row>
    <row r="71" spans="2:10" x14ac:dyDescent="0.15">
      <c r="B71" s="2">
        <v>69</v>
      </c>
      <c r="C71" s="2">
        <f t="shared" si="8"/>
        <v>70</v>
      </c>
      <c r="D71" s="3">
        <f t="shared" si="9"/>
        <v>10.581450751196643</v>
      </c>
      <c r="E71" s="3">
        <f t="shared" si="10"/>
        <v>24.436813758480596</v>
      </c>
      <c r="F71" s="5">
        <f t="shared" si="11"/>
        <v>7.6202821245165309E-2</v>
      </c>
      <c r="G71" s="5">
        <f t="shared" si="12"/>
        <v>0.30481128498066123</v>
      </c>
      <c r="H71" s="5">
        <f t="shared" si="13"/>
        <v>0.38101410622582654</v>
      </c>
      <c r="I71" s="5">
        <f t="shared" si="14"/>
        <v>0.45721692747099185</v>
      </c>
      <c r="J71" s="5">
        <f t="shared" si="15"/>
        <v>0.53341974871615716</v>
      </c>
    </row>
    <row r="72" spans="2:10" x14ac:dyDescent="0.15">
      <c r="B72" s="2">
        <v>70</v>
      </c>
      <c r="C72" s="2">
        <f t="shared" si="8"/>
        <v>71</v>
      </c>
      <c r="D72" s="3">
        <f t="shared" si="9"/>
        <v>10.65676451837048</v>
      </c>
      <c r="E72" s="3">
        <f t="shared" si="10"/>
        <v>24.610743453486595</v>
      </c>
      <c r="F72" s="5">
        <f t="shared" si="11"/>
        <v>7.5671945521526715E-2</v>
      </c>
      <c r="G72" s="5">
        <f t="shared" si="12"/>
        <v>0.30268778208610686</v>
      </c>
      <c r="H72" s="5">
        <f t="shared" si="13"/>
        <v>0.37835972760763359</v>
      </c>
      <c r="I72" s="5">
        <f t="shared" si="14"/>
        <v>0.45403167312916026</v>
      </c>
      <c r="J72" s="5">
        <f t="shared" si="15"/>
        <v>0.52970361865068705</v>
      </c>
    </row>
    <row r="73" spans="2:10" x14ac:dyDescent="0.15">
      <c r="B73" s="2">
        <v>71</v>
      </c>
      <c r="C73" s="2">
        <f t="shared" si="8"/>
        <v>72</v>
      </c>
      <c r="D73" s="3">
        <f t="shared" si="9"/>
        <v>10.73154974828892</v>
      </c>
      <c r="E73" s="3">
        <f t="shared" si="10"/>
        <v>24.783452543985874</v>
      </c>
      <c r="F73" s="5">
        <f t="shared" si="11"/>
        <v>7.5152010417309512E-2</v>
      </c>
      <c r="G73" s="5">
        <f t="shared" si="12"/>
        <v>0.30060804166923805</v>
      </c>
      <c r="H73" s="5">
        <f t="shared" si="13"/>
        <v>0.37576005208654756</v>
      </c>
      <c r="I73" s="5">
        <f t="shared" si="14"/>
        <v>0.45091206250385707</v>
      </c>
      <c r="J73" s="5">
        <f t="shared" si="15"/>
        <v>0.52606407292116653</v>
      </c>
    </row>
    <row r="74" spans="2:10" x14ac:dyDescent="0.15">
      <c r="B74" s="2">
        <v>72</v>
      </c>
      <c r="C74" s="2">
        <f t="shared" si="8"/>
        <v>73</v>
      </c>
      <c r="D74" s="3">
        <f t="shared" si="9"/>
        <v>10.80581741470769</v>
      </c>
      <c r="E74" s="3">
        <f t="shared" si="10"/>
        <v>24.954966372781723</v>
      </c>
      <c r="F74" s="5">
        <f t="shared" si="11"/>
        <v>7.4642645312676018E-2</v>
      </c>
      <c r="G74" s="5">
        <f t="shared" si="12"/>
        <v>0.29857058125070407</v>
      </c>
      <c r="H74" s="5">
        <f t="shared" si="13"/>
        <v>0.37321322656338007</v>
      </c>
      <c r="I74" s="5">
        <f t="shared" si="14"/>
        <v>0.44785587187605613</v>
      </c>
      <c r="J74" s="5">
        <f t="shared" si="15"/>
        <v>0.52249851718873208</v>
      </c>
    </row>
    <row r="75" spans="2:10" x14ac:dyDescent="0.15">
      <c r="B75" s="2">
        <v>73</v>
      </c>
      <c r="C75" s="2">
        <f t="shared" si="8"/>
        <v>74</v>
      </c>
      <c r="D75" s="3">
        <f t="shared" si="9"/>
        <v>10.879578116820523</v>
      </c>
      <c r="E75" s="3">
        <f t="shared" si="10"/>
        <v>25.125309417663562</v>
      </c>
      <c r="F75" s="5">
        <f t="shared" si="11"/>
        <v>7.4143496926351582E-2</v>
      </c>
      <c r="G75" s="5">
        <f t="shared" si="12"/>
        <v>0.29657398770540633</v>
      </c>
      <c r="H75" s="5">
        <f t="shared" si="13"/>
        <v>0.37071748463175791</v>
      </c>
      <c r="I75" s="5">
        <f t="shared" si="14"/>
        <v>0.44486098155810949</v>
      </c>
      <c r="J75" s="5">
        <f t="shared" si="15"/>
        <v>0.51900447848446107</v>
      </c>
    </row>
    <row r="76" spans="2:10" x14ac:dyDescent="0.15">
      <c r="B76" s="2">
        <v>74</v>
      </c>
      <c r="C76" s="2">
        <f t="shared" si="8"/>
        <v>75</v>
      </c>
      <c r="D76" s="3">
        <f t="shared" si="9"/>
        <v>10.952842096917127</v>
      </c>
      <c r="E76" s="3">
        <f t="shared" si="10"/>
        <v>25.294505332186272</v>
      </c>
      <c r="F76" s="5">
        <f t="shared" si="11"/>
        <v>7.3654228286684373E-2</v>
      </c>
      <c r="G76" s="5">
        <f t="shared" si="12"/>
        <v>0.29461691314673749</v>
      </c>
      <c r="H76" s="5">
        <f t="shared" si="13"/>
        <v>0.36827114143342188</v>
      </c>
      <c r="I76" s="5">
        <f t="shared" si="14"/>
        <v>0.44192536972010621</v>
      </c>
      <c r="J76" s="5">
        <f t="shared" si="15"/>
        <v>0.51557959800679065</v>
      </c>
    </row>
    <row r="77" spans="2:10" x14ac:dyDescent="0.15">
      <c r="B77" s="2">
        <v>75</v>
      </c>
      <c r="C77" s="2">
        <f t="shared" si="8"/>
        <v>76</v>
      </c>
      <c r="D77" s="3">
        <f t="shared" si="9"/>
        <v>11.02561925698507</v>
      </c>
      <c r="E77" s="3">
        <f t="shared" si="10"/>
        <v>25.462576984010607</v>
      </c>
      <c r="F77" s="5">
        <f t="shared" si="11"/>
        <v>7.317451777634959E-2</v>
      </c>
      <c r="G77" s="5">
        <f t="shared" si="12"/>
        <v>0.29269807110539836</v>
      </c>
      <c r="H77" s="5">
        <f t="shared" si="13"/>
        <v>0.36587258888174795</v>
      </c>
      <c r="I77" s="5">
        <f t="shared" si="14"/>
        <v>0.43904710665809754</v>
      </c>
      <c r="J77" s="5">
        <f t="shared" si="15"/>
        <v>0.51222162443444708</v>
      </c>
    </row>
    <row r="78" spans="2:10" x14ac:dyDescent="0.15">
      <c r="B78" s="2">
        <v>76</v>
      </c>
      <c r="C78" s="2">
        <f t="shared" si="8"/>
        <v>77</v>
      </c>
      <c r="D78" s="3">
        <f t="shared" si="9"/>
        <v>11.097919174331736</v>
      </c>
      <c r="E78" s="3">
        <f t="shared" si="10"/>
        <v>25.629546490980545</v>
      </c>
      <c r="F78" s="5">
        <f t="shared" si="11"/>
        <v>7.2704058244551076E-2</v>
      </c>
      <c r="G78" s="5">
        <f t="shared" si="12"/>
        <v>0.2908162329782043</v>
      </c>
      <c r="H78" s="5">
        <f t="shared" si="13"/>
        <v>0.36352029122275537</v>
      </c>
      <c r="I78" s="5">
        <f t="shared" si="14"/>
        <v>0.43622434946730648</v>
      </c>
      <c r="J78" s="5">
        <f t="shared" si="15"/>
        <v>0.50892840771185754</v>
      </c>
    </row>
    <row r="79" spans="2:10" x14ac:dyDescent="0.15">
      <c r="B79" s="2">
        <v>77</v>
      </c>
      <c r="C79" s="2">
        <f t="shared" si="8"/>
        <v>78</v>
      </c>
      <c r="D79" s="3">
        <f t="shared" si="9"/>
        <v>11.16975111629619</v>
      </c>
      <c r="E79" s="3">
        <f t="shared" si="10"/>
        <v>25.795435255098912</v>
      </c>
      <c r="F79" s="5">
        <f t="shared" si="11"/>
        <v>7.2242556181155049E-2</v>
      </c>
      <c r="G79" s="5">
        <f t="shared" si="12"/>
        <v>0.28897022472462019</v>
      </c>
      <c r="H79" s="5">
        <f t="shared" si="13"/>
        <v>0.36121278090577524</v>
      </c>
      <c r="I79" s="5">
        <f t="shared" si="14"/>
        <v>0.43345533708693029</v>
      </c>
      <c r="J79" s="5">
        <f t="shared" si="15"/>
        <v>0.50569789326808534</v>
      </c>
    </row>
    <row r="80" spans="2:10" x14ac:dyDescent="0.15">
      <c r="B80" s="2">
        <v>78</v>
      </c>
      <c r="C80" s="2">
        <f t="shared" si="8"/>
        <v>79</v>
      </c>
      <c r="D80" s="3">
        <f t="shared" si="9"/>
        <v>11.241124054114872</v>
      </c>
      <c r="E80" s="3">
        <f t="shared" si="10"/>
        <v>25.960263994548793</v>
      </c>
      <c r="F80" s="5">
        <f t="shared" si="11"/>
        <v>7.1789730947716859E-2</v>
      </c>
      <c r="G80" s="5">
        <f t="shared" si="12"/>
        <v>0.28715892379086744</v>
      </c>
      <c r="H80" s="5">
        <f t="shared" si="13"/>
        <v>0.35894865473858428</v>
      </c>
      <c r="I80" s="5">
        <f t="shared" si="14"/>
        <v>0.43073838568630118</v>
      </c>
      <c r="J80" s="5">
        <f t="shared" si="15"/>
        <v>0.50252811663401797</v>
      </c>
    </row>
    <row r="81" spans="2:10" x14ac:dyDescent="0.15">
      <c r="B81" s="2">
        <v>79</v>
      </c>
      <c r="C81" s="2">
        <f t="shared" si="8"/>
        <v>80</v>
      </c>
      <c r="D81" s="3">
        <f t="shared" si="9"/>
        <v>11.312046675999882</v>
      </c>
      <c r="E81" s="3">
        <f t="shared" si="10"/>
        <v>26.124052773896569</v>
      </c>
      <c r="F81" s="5">
        <f t="shared" si="11"/>
        <v>7.1345314060825255E-2</v>
      </c>
      <c r="G81" s="5">
        <f t="shared" si="12"/>
        <v>0.28538125624330102</v>
      </c>
      <c r="H81" s="5">
        <f t="shared" si="13"/>
        <v>0.35672657030412624</v>
      </c>
      <c r="I81" s="5">
        <f t="shared" si="14"/>
        <v>0.42807188436495153</v>
      </c>
      <c r="J81" s="5">
        <f t="shared" si="15"/>
        <v>0.49941719842577681</v>
      </c>
    </row>
    <row r="82" spans="2:10" x14ac:dyDescent="0.15">
      <c r="B82" s="2">
        <v>80</v>
      </c>
      <c r="C82" s="2">
        <f t="shared" si="8"/>
        <v>81</v>
      </c>
      <c r="D82" s="3">
        <f t="shared" si="9"/>
        <v>11.382527399483823</v>
      </c>
      <c r="E82" s="3">
        <f t="shared" si="10"/>
        <v>26.286821032601107</v>
      </c>
      <c r="F82" s="5">
        <f t="shared" si="11"/>
        <v>7.090904852361099E-2</v>
      </c>
      <c r="G82" s="5">
        <f t="shared" si="12"/>
        <v>0.28363619409444396</v>
      </c>
      <c r="H82" s="5">
        <f t="shared" si="13"/>
        <v>0.35454524261805498</v>
      </c>
      <c r="I82" s="5">
        <f t="shared" si="14"/>
        <v>0.42545429114166594</v>
      </c>
      <c r="J82" s="5">
        <f t="shared" si="15"/>
        <v>0.4963633396652769</v>
      </c>
    </row>
    <row r="83" spans="2:10" x14ac:dyDescent="0.15">
      <c r="B83" s="2">
        <v>81</v>
      </c>
      <c r="C83" s="2">
        <f t="shared" si="8"/>
        <v>82</v>
      </c>
      <c r="D83" s="3">
        <f t="shared" si="9"/>
        <v>11.452574383080863</v>
      </c>
      <c r="E83" s="3">
        <f t="shared" si="10"/>
        <v>26.448587611943793</v>
      </c>
      <c r="F83" s="5">
        <f t="shared" si="11"/>
        <v>7.0480688201640496E-2</v>
      </c>
      <c r="G83" s="5">
        <f t="shared" si="12"/>
        <v>0.28192275280656198</v>
      </c>
      <c r="H83" s="5">
        <f t="shared" si="13"/>
        <v>0.35240344100820248</v>
      </c>
      <c r="I83" s="5">
        <f t="shared" si="14"/>
        <v>0.42288412920984297</v>
      </c>
      <c r="J83" s="5">
        <f t="shared" si="15"/>
        <v>0.49336481741148347</v>
      </c>
    </row>
    <row r="84" spans="2:10" x14ac:dyDescent="0.15">
      <c r="B84" s="2">
        <v>82</v>
      </c>
      <c r="C84" s="2">
        <f t="shared" si="8"/>
        <v>83</v>
      </c>
      <c r="D84" s="3">
        <f t="shared" si="9"/>
        <v>11.522195537309718</v>
      </c>
      <c r="E84" s="3">
        <f t="shared" si="10"/>
        <v>26.609370780485079</v>
      </c>
      <c r="F84" s="5">
        <f t="shared" si="11"/>
        <v>7.0059997239753688E-2</v>
      </c>
      <c r="G84" s="5">
        <f t="shared" si="12"/>
        <v>0.28023998895901475</v>
      </c>
      <c r="H84" s="5">
        <f t="shared" si="13"/>
        <v>0.35029998619876845</v>
      </c>
      <c r="I84" s="5">
        <f t="shared" si="14"/>
        <v>0.4203599834385221</v>
      </c>
      <c r="J84" s="5">
        <f t="shared" si="15"/>
        <v>0.4904199806782758</v>
      </c>
    </row>
    <row r="85" spans="2:10" x14ac:dyDescent="0.15">
      <c r="B85" s="2">
        <v>83</v>
      </c>
      <c r="C85" s="2">
        <f t="shared" si="8"/>
        <v>84</v>
      </c>
      <c r="D85" s="3">
        <f t="shared" si="9"/>
        <v>11.591398535120772</v>
      </c>
      <c r="E85" s="3">
        <f t="shared" si="10"/>
        <v>26.769188258144847</v>
      </c>
      <c r="F85" s="5">
        <f t="shared" si="11"/>
        <v>6.9646749516709919E-2</v>
      </c>
      <c r="G85" s="5">
        <f t="shared" si="12"/>
        <v>0.27858699806683968</v>
      </c>
      <c r="H85" s="5">
        <f t="shared" si="13"/>
        <v>0.34823374758354958</v>
      </c>
      <c r="I85" s="5">
        <f t="shared" si="14"/>
        <v>0.41788049710025954</v>
      </c>
      <c r="J85" s="5">
        <f t="shared" si="15"/>
        <v>0.48752724661696945</v>
      </c>
    </row>
    <row r="86" spans="2:10" x14ac:dyDescent="0.15">
      <c r="B86" s="2">
        <v>84</v>
      </c>
      <c r="C86" s="2">
        <f t="shared" si="8"/>
        <v>85</v>
      </c>
      <c r="D86" s="3">
        <f t="shared" si="9"/>
        <v>11.660190821766168</v>
      </c>
      <c r="E86" s="3">
        <f t="shared" si="10"/>
        <v>26.928057238996402</v>
      </c>
      <c r="F86" s="5">
        <f t="shared" si="11"/>
        <v>6.9240728134779231E-2</v>
      </c>
      <c r="G86" s="5">
        <f t="shared" si="12"/>
        <v>0.27696291253911692</v>
      </c>
      <c r="H86" s="5">
        <f t="shared" si="13"/>
        <v>0.34620364067389614</v>
      </c>
      <c r="I86" s="5">
        <f t="shared" si="14"/>
        <v>0.41544436880867541</v>
      </c>
      <c r="J86" s="5">
        <f t="shared" si="15"/>
        <v>0.48468509694345463</v>
      </c>
    </row>
    <row r="87" spans="2:10" x14ac:dyDescent="0.15">
      <c r="B87" s="2">
        <v>85</v>
      </c>
      <c r="C87" s="2">
        <f t="shared" si="8"/>
        <v>86</v>
      </c>
      <c r="D87" s="3">
        <f t="shared" si="9"/>
        <v>11.728579624148866</v>
      </c>
      <c r="E87" s="3">
        <f t="shared" si="10"/>
        <v>27.085994412857229</v>
      </c>
      <c r="F87" s="5">
        <f t="shared" si="11"/>
        <v>6.8841724941663004E-2</v>
      </c>
      <c r="G87" s="5">
        <f t="shared" si="12"/>
        <v>0.27536689976665202</v>
      </c>
      <c r="H87" s="5">
        <f t="shared" si="13"/>
        <v>0.34420862470831504</v>
      </c>
      <c r="I87" s="5">
        <f t="shared" si="14"/>
        <v>0.413050349649978</v>
      </c>
      <c r="J87" s="5">
        <f t="shared" si="15"/>
        <v>0.48189207459164102</v>
      </c>
    </row>
    <row r="88" spans="2:10" x14ac:dyDescent="0.15">
      <c r="B88" s="2">
        <v>86</v>
      </c>
      <c r="C88" s="2">
        <f t="shared" si="8"/>
        <v>87</v>
      </c>
      <c r="D88" s="3">
        <f t="shared" si="9"/>
        <v>11.796571959683881</v>
      </c>
      <c r="E88" s="3">
        <f t="shared" si="10"/>
        <v>27.243015985753118</v>
      </c>
      <c r="F88" s="5">
        <f t="shared" si="11"/>
        <v>6.8449540082352295E-2</v>
      </c>
      <c r="G88" s="5">
        <f t="shared" si="12"/>
        <v>0.27379816032940918</v>
      </c>
      <c r="H88" s="5">
        <f t="shared" si="13"/>
        <v>0.34224770041176145</v>
      </c>
      <c r="I88" s="5">
        <f t="shared" si="14"/>
        <v>0.41069724049411377</v>
      </c>
      <c r="J88" s="5">
        <f t="shared" si="15"/>
        <v>0.47914678057646609</v>
      </c>
    </row>
    <row r="89" spans="2:10" x14ac:dyDescent="0.15">
      <c r="B89" s="2">
        <v>87</v>
      </c>
      <c r="C89" s="2">
        <f t="shared" si="8"/>
        <v>88</v>
      </c>
      <c r="D89" s="3">
        <f t="shared" si="9"/>
        <v>11.864174644702427</v>
      </c>
      <c r="E89" s="3">
        <f t="shared" si="10"/>
        <v>27.399137699326715</v>
      </c>
      <c r="F89" s="5">
        <f t="shared" si="11"/>
        <v>6.8063981578733668E-2</v>
      </c>
      <c r="G89" s="5">
        <f t="shared" si="12"/>
        <v>0.27225592631493467</v>
      </c>
      <c r="H89" s="5">
        <f t="shared" si="13"/>
        <v>0.34031990789366834</v>
      </c>
      <c r="I89" s="5">
        <f t="shared" si="14"/>
        <v>0.40838388947240201</v>
      </c>
      <c r="J89" s="5">
        <f t="shared" si="15"/>
        <v>0.47644787105113567</v>
      </c>
    </row>
    <row r="90" spans="2:10" x14ac:dyDescent="0.15">
      <c r="B90" s="2">
        <v>88</v>
      </c>
      <c r="C90" s="2">
        <f t="shared" si="8"/>
        <v>89</v>
      </c>
      <c r="D90" s="3">
        <f t="shared" si="9"/>
        <v>11.931394302427524</v>
      </c>
      <c r="E90" s="3">
        <f t="shared" si="10"/>
        <v>27.554374849256391</v>
      </c>
      <c r="F90" s="5">
        <f t="shared" si="11"/>
        <v>6.7684864934934252E-2</v>
      </c>
      <c r="G90" s="5">
        <f t="shared" si="12"/>
        <v>0.27073945973973701</v>
      </c>
      <c r="H90" s="5">
        <f t="shared" si="13"/>
        <v>0.33842432467467126</v>
      </c>
      <c r="I90" s="5">
        <f t="shared" si="14"/>
        <v>0.40610918960960551</v>
      </c>
      <c r="J90" s="5">
        <f t="shared" si="15"/>
        <v>0.47379405454453977</v>
      </c>
    </row>
    <row r="91" spans="2:10" x14ac:dyDescent="0.15">
      <c r="B91" s="2">
        <v>89</v>
      </c>
      <c r="C91" s="2">
        <f t="shared" si="8"/>
        <v>90</v>
      </c>
      <c r="D91" s="3">
        <f t="shared" si="9"/>
        <v>11.998237370547391</v>
      </c>
      <c r="E91" s="3">
        <f t="shared" si="10"/>
        <v>27.708742302746256</v>
      </c>
      <c r="F91" s="5">
        <f t="shared" si="11"/>
        <v>6.7312012766565316E-2</v>
      </c>
      <c r="G91" s="5">
        <f t="shared" si="12"/>
        <v>0.26924805106626126</v>
      </c>
      <c r="H91" s="5">
        <f t="shared" si="13"/>
        <v>0.33656006383282655</v>
      </c>
      <c r="I91" s="5">
        <f t="shared" si="14"/>
        <v>0.40387207659939189</v>
      </c>
      <c r="J91" s="5">
        <f t="shared" si="15"/>
        <v>0.47118408936595724</v>
      </c>
    </row>
    <row r="92" spans="2:10" x14ac:dyDescent="0.15">
      <c r="B92" s="2">
        <v>90</v>
      </c>
      <c r="C92" s="2">
        <f t="shared" si="8"/>
        <v>91</v>
      </c>
      <c r="D92" s="3">
        <f t="shared" si="9"/>
        <v>12.064710108411225</v>
      </c>
      <c r="E92" s="3">
        <f t="shared" si="10"/>
        <v>27.862254515144077</v>
      </c>
      <c r="F92" s="5">
        <f t="shared" si="11"/>
        <v>6.6945254452172143E-2</v>
      </c>
      <c r="G92" s="5">
        <f t="shared" si="12"/>
        <v>0.26778101780868857</v>
      </c>
      <c r="H92" s="5">
        <f t="shared" si="13"/>
        <v>0.33472627226086071</v>
      </c>
      <c r="I92" s="5">
        <f t="shared" si="14"/>
        <v>0.40167152671303286</v>
      </c>
      <c r="J92" s="5">
        <f t="shared" si="15"/>
        <v>0.468616781165205</v>
      </c>
    </row>
    <row r="93" spans="2:10" x14ac:dyDescent="0.15">
      <c r="B93" s="2">
        <v>91</v>
      </c>
      <c r="C93" s="2">
        <f t="shared" si="8"/>
        <v>92</v>
      </c>
      <c r="D93" s="3">
        <f t="shared" si="9"/>
        <v>12.130818603870063</v>
      </c>
      <c r="E93" s="3">
        <f t="shared" si="10"/>
        <v>28.014925545739601</v>
      </c>
      <c r="F93" s="5">
        <f t="shared" si="11"/>
        <v>6.658442580533587E-2</v>
      </c>
      <c r="G93" s="5">
        <f t="shared" si="12"/>
        <v>0.26633770322134348</v>
      </c>
      <c r="H93" s="5">
        <f t="shared" si="13"/>
        <v>0.33292212902667934</v>
      </c>
      <c r="I93" s="5">
        <f t="shared" si="14"/>
        <v>0.39950655483201525</v>
      </c>
      <c r="J93" s="5">
        <f t="shared" si="15"/>
        <v>0.4660909806373511</v>
      </c>
    </row>
    <row r="94" spans="2:10" x14ac:dyDescent="0.15">
      <c r="B94" s="2">
        <v>92</v>
      </c>
      <c r="C94" s="2">
        <f t="shared" si="8"/>
        <v>93</v>
      </c>
      <c r="D94" s="3">
        <f t="shared" si="9"/>
        <v>12.196568779783926</v>
      </c>
      <c r="E94" s="3">
        <f t="shared" si="10"/>
        <v>28.166769072792135</v>
      </c>
      <c r="F94" s="5">
        <f t="shared" si="11"/>
        <v>6.6229368765996721E-2</v>
      </c>
      <c r="G94" s="5">
        <f t="shared" si="12"/>
        <v>0.26491747506398688</v>
      </c>
      <c r="H94" s="5">
        <f t="shared" si="13"/>
        <v>0.33114684382998361</v>
      </c>
      <c r="I94" s="5">
        <f t="shared" si="14"/>
        <v>0.39737621259598033</v>
      </c>
      <c r="J94" s="5">
        <f t="shared" si="15"/>
        <v>0.46360558136197705</v>
      </c>
    </row>
    <row r="95" spans="2:10" x14ac:dyDescent="0.15">
      <c r="B95" s="2">
        <v>93</v>
      </c>
      <c r="C95" s="2">
        <f t="shared" si="8"/>
        <v>94</v>
      </c>
      <c r="D95" s="3">
        <f t="shared" si="9"/>
        <v>12.261966400214934</v>
      </c>
      <c r="E95" s="3">
        <f t="shared" si="10"/>
        <v>28.317798407832953</v>
      </c>
      <c r="F95" s="5">
        <f t="shared" si="11"/>
        <v>6.5879931109680864E-2</v>
      </c>
      <c r="G95" s="5">
        <f t="shared" si="12"/>
        <v>0.26351972443872346</v>
      </c>
      <c r="H95" s="5">
        <f t="shared" si="13"/>
        <v>0.32939965554840434</v>
      </c>
      <c r="I95" s="5">
        <f t="shared" si="14"/>
        <v>0.39527958665808516</v>
      </c>
      <c r="J95" s="5">
        <f t="shared" si="15"/>
        <v>0.46115951776776604</v>
      </c>
    </row>
    <row r="96" spans="2:10" x14ac:dyDescent="0.15">
      <c r="B96" s="2">
        <v>94</v>
      </c>
      <c r="C96" s="2">
        <f t="shared" si="8"/>
        <v>95</v>
      </c>
      <c r="D96" s="3">
        <f t="shared" si="9"/>
        <v>12.327017076324669</v>
      </c>
      <c r="E96" s="3">
        <f t="shared" si="10"/>
        <v>28.468026509284641</v>
      </c>
      <c r="F96" s="5">
        <f t="shared" si="11"/>
        <v>6.5535966173417476E-2</v>
      </c>
      <c r="G96" s="5">
        <f t="shared" si="12"/>
        <v>0.2621438646936699</v>
      </c>
      <c r="H96" s="5">
        <f t="shared" si="13"/>
        <v>0.32767983086708741</v>
      </c>
      <c r="I96" s="5">
        <f t="shared" si="14"/>
        <v>0.39321579704050486</v>
      </c>
      <c r="J96" s="5">
        <f t="shared" si="15"/>
        <v>0.4587517632139223</v>
      </c>
    </row>
    <row r="97" spans="2:10" x14ac:dyDescent="0.15">
      <c r="B97" s="2">
        <v>95</v>
      </c>
      <c r="C97" s="2">
        <f t="shared" si="8"/>
        <v>96</v>
      </c>
      <c r="D97" s="3">
        <f t="shared" si="9"/>
        <v>12.391726271992937</v>
      </c>
      <c r="E97" s="3">
        <f t="shared" si="10"/>
        <v>28.617465995437119</v>
      </c>
      <c r="F97" s="5">
        <f t="shared" si="11"/>
        <v>6.5197332597224461E-2</v>
      </c>
      <c r="G97" s="5">
        <f t="shared" si="12"/>
        <v>0.26078933038889784</v>
      </c>
      <c r="H97" s="5">
        <f t="shared" si="13"/>
        <v>0.32598666298612233</v>
      </c>
      <c r="I97" s="5">
        <f t="shared" si="14"/>
        <v>0.39118399558334677</v>
      </c>
      <c r="J97" s="5">
        <f t="shared" si="15"/>
        <v>0.4563813281805712</v>
      </c>
    </row>
    <row r="98" spans="2:10" x14ac:dyDescent="0.15">
      <c r="B98" s="2">
        <v>96</v>
      </c>
      <c r="C98" s="2">
        <f t="shared" si="8"/>
        <v>97</v>
      </c>
      <c r="D98" s="3">
        <f t="shared" si="9"/>
        <v>12.456099309173799</v>
      </c>
      <c r="E98" s="3">
        <f t="shared" si="10"/>
        <v>28.766129156816817</v>
      </c>
      <c r="F98" s="5">
        <f t="shared" si="11"/>
        <v>6.4863894080129533E-2</v>
      </c>
      <c r="G98" s="5">
        <f t="shared" si="12"/>
        <v>0.25945557632051813</v>
      </c>
      <c r="H98" s="5">
        <f t="shared" si="13"/>
        <v>0.32431947040064768</v>
      </c>
      <c r="I98" s="5">
        <f t="shared" si="14"/>
        <v>0.38918336448077717</v>
      </c>
      <c r="J98" s="5">
        <f t="shared" si="15"/>
        <v>0.45404725856090672</v>
      </c>
    </row>
    <row r="99" spans="2:10" x14ac:dyDescent="0.15">
      <c r="B99" s="2">
        <v>97</v>
      </c>
      <c r="C99" s="2">
        <f t="shared" si="8"/>
        <v>98</v>
      </c>
      <c r="D99" s="3">
        <f t="shared" si="9"/>
        <v>12.520141373003739</v>
      </c>
      <c r="E99" s="3">
        <f t="shared" si="10"/>
        <v>28.914027967983515</v>
      </c>
      <c r="F99" s="5">
        <f t="shared" si="11"/>
        <v>6.4535519149770196E-2</v>
      </c>
      <c r="G99" s="5">
        <f t="shared" si="12"/>
        <v>0.25814207659908078</v>
      </c>
      <c r="H99" s="5">
        <f t="shared" si="13"/>
        <v>0.32267759574885096</v>
      </c>
      <c r="I99" s="5">
        <f t="shared" si="14"/>
        <v>0.3872131148986212</v>
      </c>
      <c r="J99" s="5">
        <f t="shared" si="15"/>
        <v>0.45174863404839138</v>
      </c>
    </row>
    <row r="100" spans="2:10" x14ac:dyDescent="0.15">
      <c r="B100" s="2">
        <v>98</v>
      </c>
      <c r="C100" s="2">
        <f t="shared" si="8"/>
        <v>99</v>
      </c>
      <c r="D100" s="3">
        <f t="shared" si="9"/>
        <v>12.583857516675877</v>
      </c>
      <c r="E100" s="3">
        <f t="shared" si="10"/>
        <v>29.06117409878685</v>
      </c>
      <c r="F100" s="5">
        <f t="shared" si="11"/>
        <v>6.4212080944688291E-2</v>
      </c>
      <c r="G100" s="5">
        <f t="shared" si="12"/>
        <v>0.25684832377875316</v>
      </c>
      <c r="H100" s="5">
        <f t="shared" si="13"/>
        <v>0.32106040472344144</v>
      </c>
      <c r="I100" s="5">
        <f t="shared" si="14"/>
        <v>0.38527248566812977</v>
      </c>
      <c r="J100" s="5">
        <f t="shared" si="15"/>
        <v>0.44948456661281805</v>
      </c>
    </row>
    <row r="101" spans="2:10" x14ac:dyDescent="0.15">
      <c r="B101" s="2">
        <v>99</v>
      </c>
      <c r="C101" s="2">
        <f t="shared" si="8"/>
        <v>100</v>
      </c>
      <c r="D101" s="3">
        <f t="shared" si="9"/>
        <v>12.64725266609314</v>
      </c>
      <c r="E101" s="3">
        <f t="shared" si="10"/>
        <v>29.207578925112344</v>
      </c>
      <c r="F101" s="5">
        <f t="shared" si="11"/>
        <v>6.3893457008501658E-2</v>
      </c>
      <c r="G101" s="5">
        <f t="shared" si="12"/>
        <v>0.25557382803400663</v>
      </c>
      <c r="H101" s="5">
        <f t="shared" si="13"/>
        <v>0.31946728504250832</v>
      </c>
      <c r="I101" s="5">
        <f t="shared" si="14"/>
        <v>0.38336074205100995</v>
      </c>
      <c r="J101" s="5">
        <f t="shared" si="15"/>
        <v>0.44725419905951158</v>
      </c>
    </row>
    <row r="102" spans="2:10" x14ac:dyDescent="0.15">
      <c r="B102" s="2">
        <v>100</v>
      </c>
      <c r="C102" s="2">
        <f t="shared" si="8"/>
        <v>101</v>
      </c>
      <c r="D102" s="3">
        <f t="shared" si="9"/>
        <v>12.710331624312561</v>
      </c>
      <c r="E102" s="3">
        <f t="shared" si="10"/>
        <v>29.353253539145083</v>
      </c>
      <c r="F102" s="5">
        <f t="shared" si="11"/>
        <v>6.3579529095193751E-2</v>
      </c>
      <c r="G102" s="5">
        <f t="shared" si="12"/>
        <v>0.25431811638077501</v>
      </c>
      <c r="H102" s="5">
        <f t="shared" si="13"/>
        <v>0.31789764547596877</v>
      </c>
      <c r="I102" s="5">
        <f t="shared" si="14"/>
        <v>0.38147717457116248</v>
      </c>
      <c r="J102" s="5">
        <f t="shared" si="15"/>
        <v>0.44505670366635625</v>
      </c>
    </row>
    <row r="103" spans="2:10" x14ac:dyDescent="0.15">
      <c r="B103"/>
      <c r="C103"/>
      <c r="D103"/>
      <c r="E103"/>
      <c r="F103" s="7"/>
      <c r="G103" s="7"/>
      <c r="H103" s="7"/>
      <c r="I103" s="7"/>
      <c r="J103" s="7"/>
    </row>
    <row r="104" spans="2:10" x14ac:dyDescent="0.15">
      <c r="B104"/>
      <c r="C104"/>
      <c r="D104"/>
      <c r="E104"/>
      <c r="F104" s="7"/>
      <c r="G104" s="7"/>
      <c r="H104" s="7"/>
      <c r="I104" s="7"/>
      <c r="J104" s="7"/>
    </row>
    <row r="105" spans="2:10" x14ac:dyDescent="0.15">
      <c r="B105"/>
      <c r="C105"/>
      <c r="D105"/>
      <c r="E105"/>
      <c r="F105" s="7"/>
      <c r="G105" s="7"/>
      <c r="H105" s="7"/>
      <c r="I105" s="7"/>
      <c r="J105" s="7"/>
    </row>
    <row r="106" spans="2:10" x14ac:dyDescent="0.15">
      <c r="B106"/>
      <c r="C106"/>
      <c r="D106"/>
      <c r="E106"/>
      <c r="F106" s="7"/>
      <c r="G106" s="7"/>
      <c r="H106" s="7"/>
      <c r="I106" s="7"/>
      <c r="J106" s="7"/>
    </row>
    <row r="107" spans="2:10" x14ac:dyDescent="0.15">
      <c r="B107"/>
      <c r="C107"/>
      <c r="D107"/>
      <c r="E107"/>
      <c r="F107" s="7"/>
      <c r="G107" s="7"/>
      <c r="H107" s="7"/>
      <c r="I107" s="7"/>
      <c r="J107" s="7"/>
    </row>
    <row r="108" spans="2:10" x14ac:dyDescent="0.15">
      <c r="B108"/>
      <c r="C108"/>
      <c r="D108"/>
      <c r="E108"/>
      <c r="F108" s="7"/>
      <c r="G108" s="7"/>
      <c r="H108" s="7"/>
      <c r="I108" s="7"/>
      <c r="J108" s="7"/>
    </row>
    <row r="109" spans="2:10" x14ac:dyDescent="0.15">
      <c r="B109"/>
      <c r="C109"/>
      <c r="D109"/>
      <c r="E109"/>
      <c r="F109" s="7"/>
      <c r="G109" s="7"/>
      <c r="H109" s="7"/>
      <c r="I109" s="7"/>
      <c r="J109" s="7"/>
    </row>
    <row r="110" spans="2:10" x14ac:dyDescent="0.15">
      <c r="B110"/>
      <c r="C110"/>
      <c r="D110"/>
      <c r="E110"/>
      <c r="F110" s="7"/>
      <c r="G110" s="7"/>
      <c r="H110" s="7"/>
      <c r="I110" s="7"/>
      <c r="J110" s="7"/>
    </row>
    <row r="111" spans="2:10" x14ac:dyDescent="0.15">
      <c r="B111"/>
      <c r="C111"/>
      <c r="D111"/>
      <c r="E111"/>
      <c r="F111" s="7"/>
      <c r="G111" s="7"/>
      <c r="H111" s="7"/>
      <c r="I111" s="7"/>
      <c r="J111" s="7"/>
    </row>
    <row r="112" spans="2:10" x14ac:dyDescent="0.15">
      <c r="B112"/>
      <c r="C112"/>
      <c r="D112"/>
      <c r="E112"/>
      <c r="F112" s="7"/>
      <c r="G112" s="7"/>
      <c r="H112" s="7"/>
      <c r="I112" s="7"/>
      <c r="J112" s="7"/>
    </row>
    <row r="113" spans="2:10" x14ac:dyDescent="0.15">
      <c r="B113"/>
      <c r="C113"/>
      <c r="D113"/>
      <c r="E113"/>
      <c r="F113" s="7"/>
      <c r="G113" s="7"/>
      <c r="H113" s="7"/>
      <c r="I113" s="7"/>
      <c r="J113" s="7"/>
    </row>
    <row r="114" spans="2:10" x14ac:dyDescent="0.15">
      <c r="B114"/>
      <c r="C114"/>
      <c r="D114"/>
      <c r="E114"/>
      <c r="F114" s="7"/>
      <c r="G114" s="7"/>
      <c r="H114" s="7"/>
      <c r="I114" s="7"/>
      <c r="J114" s="7"/>
    </row>
    <row r="115" spans="2:10" x14ac:dyDescent="0.15">
      <c r="B115"/>
      <c r="C115"/>
      <c r="D115"/>
      <c r="E115"/>
      <c r="F115" s="7"/>
      <c r="G115" s="7"/>
      <c r="H115" s="7"/>
      <c r="I115" s="7"/>
      <c r="J115" s="7"/>
    </row>
    <row r="116" spans="2:10" x14ac:dyDescent="0.15">
      <c r="B116"/>
      <c r="C116"/>
      <c r="D116"/>
      <c r="E116"/>
      <c r="F116" s="7"/>
      <c r="G116" s="7"/>
      <c r="H116" s="7"/>
      <c r="I116" s="7"/>
      <c r="J116" s="7"/>
    </row>
    <row r="117" spans="2:10" x14ac:dyDescent="0.15">
      <c r="B117"/>
      <c r="C117"/>
      <c r="D117"/>
      <c r="E117"/>
      <c r="F117" s="7"/>
      <c r="G117" s="7"/>
      <c r="H117" s="7"/>
      <c r="I117" s="7"/>
      <c r="J117" s="7"/>
    </row>
    <row r="118" spans="2:10" x14ac:dyDescent="0.15">
      <c r="B118"/>
      <c r="C118"/>
      <c r="D118"/>
      <c r="E118"/>
      <c r="F118" s="7"/>
      <c r="G118" s="7"/>
      <c r="H118" s="7"/>
      <c r="I118" s="7"/>
      <c r="J118" s="7"/>
    </row>
    <row r="119" spans="2:10" x14ac:dyDescent="0.15">
      <c r="B119"/>
      <c r="C119"/>
      <c r="D119"/>
      <c r="E119"/>
      <c r="F119" s="7"/>
      <c r="G119" s="7"/>
      <c r="H119" s="7"/>
      <c r="I119" s="7"/>
      <c r="J119" s="7"/>
    </row>
    <row r="120" spans="2:10" x14ac:dyDescent="0.15">
      <c r="B120"/>
      <c r="C120"/>
      <c r="D120"/>
      <c r="E120"/>
      <c r="F120" s="7"/>
      <c r="G120" s="7"/>
      <c r="H120" s="7"/>
      <c r="I120" s="7"/>
      <c r="J120" s="7"/>
    </row>
    <row r="121" spans="2:10" x14ac:dyDescent="0.15">
      <c r="B121"/>
      <c r="C121"/>
      <c r="D121"/>
      <c r="E121"/>
      <c r="F121" s="7"/>
      <c r="G121" s="7"/>
      <c r="H121" s="7"/>
      <c r="I121" s="7"/>
      <c r="J121" s="7"/>
    </row>
    <row r="122" spans="2:10" x14ac:dyDescent="0.15">
      <c r="B122"/>
      <c r="C122"/>
      <c r="D122"/>
      <c r="E122"/>
      <c r="F122" s="7"/>
      <c r="G122" s="7"/>
      <c r="H122" s="7"/>
      <c r="I122" s="7"/>
      <c r="J122" s="7"/>
    </row>
    <row r="123" spans="2:10" x14ac:dyDescent="0.15">
      <c r="B123"/>
      <c r="C123"/>
      <c r="D123"/>
      <c r="E123"/>
      <c r="F123" s="7"/>
      <c r="G123" s="7"/>
      <c r="H123" s="7"/>
      <c r="I123" s="7"/>
      <c r="J123" s="7"/>
    </row>
    <row r="124" spans="2:10" x14ac:dyDescent="0.15">
      <c r="B124"/>
      <c r="C124"/>
      <c r="D124"/>
      <c r="E124"/>
      <c r="F124" s="7"/>
      <c r="G124" s="7"/>
      <c r="H124" s="7"/>
      <c r="I124" s="7"/>
      <c r="J124" s="7"/>
    </row>
    <row r="125" spans="2:10" x14ac:dyDescent="0.15">
      <c r="B125"/>
      <c r="C125"/>
      <c r="D125"/>
      <c r="E125"/>
      <c r="F125" s="7"/>
      <c r="G125" s="7"/>
      <c r="H125" s="7"/>
      <c r="I125" s="7"/>
      <c r="J125" s="7"/>
    </row>
    <row r="126" spans="2:10" x14ac:dyDescent="0.15">
      <c r="B126"/>
      <c r="C126"/>
      <c r="D126"/>
      <c r="E126"/>
      <c r="F126" s="7"/>
      <c r="G126" s="7"/>
      <c r="H126" s="7"/>
      <c r="I126" s="7"/>
      <c r="J126" s="7"/>
    </row>
    <row r="127" spans="2:10" x14ac:dyDescent="0.15">
      <c r="B127"/>
      <c r="C127"/>
      <c r="D127"/>
      <c r="E127"/>
      <c r="F127" s="7"/>
      <c r="G127" s="7"/>
      <c r="H127" s="7"/>
      <c r="I127" s="7"/>
      <c r="J127" s="7"/>
    </row>
    <row r="128" spans="2:10" x14ac:dyDescent="0.15">
      <c r="B128"/>
      <c r="C128"/>
      <c r="D128"/>
      <c r="E128"/>
      <c r="F128" s="7"/>
      <c r="G128" s="7"/>
      <c r="H128" s="7"/>
      <c r="I128" s="7"/>
      <c r="J128" s="7"/>
    </row>
    <row r="129" spans="2:10" x14ac:dyDescent="0.15">
      <c r="B129"/>
      <c r="C129"/>
      <c r="D129"/>
      <c r="E129"/>
      <c r="F129" s="7"/>
      <c r="G129" s="7"/>
      <c r="H129" s="7"/>
      <c r="I129" s="7"/>
      <c r="J129" s="7"/>
    </row>
    <row r="130" spans="2:10" x14ac:dyDescent="0.15">
      <c r="B130"/>
      <c r="C130"/>
      <c r="D130"/>
      <c r="E130"/>
      <c r="F130" s="7"/>
      <c r="G130" s="7"/>
      <c r="H130" s="7"/>
      <c r="I130" s="7"/>
      <c r="J130" s="7"/>
    </row>
    <row r="131" spans="2:10" x14ac:dyDescent="0.15">
      <c r="B131"/>
      <c r="C131"/>
      <c r="D131"/>
      <c r="E131"/>
      <c r="F131" s="7"/>
      <c r="G131" s="7"/>
      <c r="H131" s="7"/>
      <c r="I131" s="7"/>
      <c r="J131" s="7"/>
    </row>
    <row r="132" spans="2:10" x14ac:dyDescent="0.15">
      <c r="B132"/>
      <c r="C132"/>
      <c r="D132"/>
      <c r="E132"/>
      <c r="F132" s="7"/>
      <c r="G132" s="7"/>
      <c r="H132" s="7"/>
      <c r="I132" s="7"/>
      <c r="J132" s="7"/>
    </row>
    <row r="133" spans="2:10" x14ac:dyDescent="0.15">
      <c r="B133"/>
      <c r="C133"/>
      <c r="D133"/>
      <c r="E133"/>
      <c r="F133" s="7"/>
      <c r="G133" s="7"/>
      <c r="H133" s="7"/>
      <c r="I133" s="7"/>
      <c r="J133" s="7"/>
    </row>
    <row r="134" spans="2:10" x14ac:dyDescent="0.15">
      <c r="B134"/>
      <c r="C134"/>
      <c r="D134"/>
      <c r="E134"/>
      <c r="F134" s="7"/>
      <c r="G134" s="7"/>
      <c r="H134" s="7"/>
      <c r="I134" s="7"/>
      <c r="J134" s="7"/>
    </row>
    <row r="135" spans="2:10" x14ac:dyDescent="0.15">
      <c r="B135"/>
      <c r="C135"/>
      <c r="D135"/>
      <c r="E135"/>
      <c r="F135" s="7"/>
      <c r="G135" s="7"/>
      <c r="H135" s="7"/>
      <c r="I135" s="7"/>
      <c r="J135" s="7"/>
    </row>
    <row r="136" spans="2:10" x14ac:dyDescent="0.15">
      <c r="B136"/>
      <c r="C136"/>
      <c r="D136"/>
      <c r="E136"/>
      <c r="F136" s="7"/>
      <c r="G136" s="7"/>
      <c r="H136" s="7"/>
      <c r="I136" s="7"/>
      <c r="J136" s="7"/>
    </row>
    <row r="137" spans="2:10" x14ac:dyDescent="0.15">
      <c r="B137"/>
      <c r="C137"/>
      <c r="D137"/>
      <c r="E137"/>
      <c r="F137" s="7"/>
      <c r="G137" s="7"/>
      <c r="H137" s="7"/>
      <c r="I137" s="7"/>
      <c r="J137" s="7"/>
    </row>
    <row r="138" spans="2:10" x14ac:dyDescent="0.15">
      <c r="B138"/>
      <c r="C138"/>
      <c r="D138"/>
      <c r="E138"/>
      <c r="F138" s="7"/>
      <c r="G138" s="7"/>
      <c r="H138" s="7"/>
      <c r="I138" s="7"/>
      <c r="J138" s="7"/>
    </row>
    <row r="139" spans="2:10" x14ac:dyDescent="0.15">
      <c r="B139"/>
      <c r="C139"/>
      <c r="D139"/>
      <c r="E139"/>
      <c r="F139" s="7"/>
      <c r="G139" s="7"/>
      <c r="H139" s="7"/>
      <c r="I139" s="7"/>
      <c r="J139" s="7"/>
    </row>
    <row r="140" spans="2:10" x14ac:dyDescent="0.15">
      <c r="B140"/>
      <c r="C140"/>
      <c r="D140"/>
      <c r="E140"/>
      <c r="F140" s="7"/>
      <c r="G140" s="7"/>
      <c r="H140" s="7"/>
      <c r="I140" s="7"/>
      <c r="J140" s="7"/>
    </row>
    <row r="141" spans="2:10" x14ac:dyDescent="0.15">
      <c r="B141"/>
      <c r="C141"/>
      <c r="D141"/>
      <c r="E141"/>
      <c r="F141" s="7"/>
      <c r="G141" s="7"/>
      <c r="H141" s="7"/>
      <c r="I141" s="7"/>
      <c r="J141" s="7"/>
    </row>
    <row r="142" spans="2:10" x14ac:dyDescent="0.15">
      <c r="B142"/>
      <c r="C142"/>
      <c r="D142"/>
      <c r="E142"/>
      <c r="F142" s="7"/>
      <c r="G142" s="7"/>
      <c r="H142" s="7"/>
      <c r="I142" s="7"/>
      <c r="J142" s="7"/>
    </row>
    <row r="143" spans="2:10" x14ac:dyDescent="0.15">
      <c r="B143"/>
      <c r="C143"/>
      <c r="D143"/>
      <c r="E143"/>
      <c r="F143" s="7"/>
      <c r="G143" s="7"/>
      <c r="H143" s="7"/>
      <c r="I143" s="7"/>
      <c r="J143" s="7"/>
    </row>
    <row r="144" spans="2:10" x14ac:dyDescent="0.15">
      <c r="B144"/>
      <c r="C144"/>
      <c r="D144"/>
      <c r="E144"/>
      <c r="F144" s="7"/>
      <c r="G144" s="7"/>
      <c r="H144" s="7"/>
      <c r="I144" s="7"/>
      <c r="J144" s="7"/>
    </row>
    <row r="145" spans="2:10" x14ac:dyDescent="0.15">
      <c r="B145"/>
      <c r="C145"/>
      <c r="D145"/>
      <c r="E145"/>
      <c r="F145" s="7"/>
      <c r="G145" s="7"/>
      <c r="H145" s="7"/>
      <c r="I145" s="7"/>
      <c r="J145" s="7"/>
    </row>
    <row r="146" spans="2:10" x14ac:dyDescent="0.15">
      <c r="B146"/>
      <c r="C146"/>
      <c r="D146"/>
      <c r="E146"/>
      <c r="F146" s="7"/>
      <c r="G146" s="7"/>
      <c r="H146" s="7"/>
      <c r="I146" s="7"/>
      <c r="J146" s="7"/>
    </row>
    <row r="147" spans="2:10" x14ac:dyDescent="0.15">
      <c r="B147"/>
      <c r="C147"/>
      <c r="D147"/>
      <c r="E147"/>
      <c r="F147" s="7"/>
      <c r="G147" s="7"/>
      <c r="H147" s="7"/>
      <c r="I147" s="7"/>
      <c r="J147" s="7"/>
    </row>
    <row r="148" spans="2:10" x14ac:dyDescent="0.15">
      <c r="B148"/>
      <c r="C148"/>
      <c r="D148"/>
      <c r="E148"/>
      <c r="F148" s="7"/>
      <c r="G148" s="7"/>
      <c r="H148" s="7"/>
      <c r="I148" s="7"/>
      <c r="J148" s="7"/>
    </row>
    <row r="149" spans="2:10" x14ac:dyDescent="0.15">
      <c r="B149"/>
      <c r="C149"/>
      <c r="D149"/>
      <c r="E149"/>
      <c r="F149" s="7"/>
      <c r="G149" s="7"/>
      <c r="H149" s="7"/>
      <c r="I149" s="7"/>
      <c r="J149" s="7"/>
    </row>
    <row r="150" spans="2:10" x14ac:dyDescent="0.15">
      <c r="B150"/>
      <c r="C150"/>
      <c r="D150"/>
      <c r="E150"/>
      <c r="F150" s="7"/>
      <c r="G150" s="7"/>
      <c r="H150" s="7"/>
      <c r="I150" s="7"/>
      <c r="J150" s="7"/>
    </row>
    <row r="151" spans="2:10" x14ac:dyDescent="0.15">
      <c r="B151"/>
      <c r="C151"/>
      <c r="D151"/>
      <c r="E151"/>
      <c r="F151" s="7"/>
      <c r="G151" s="7"/>
      <c r="H151" s="7"/>
      <c r="I151" s="7"/>
      <c r="J151" s="7"/>
    </row>
    <row r="152" spans="2:10" x14ac:dyDescent="0.15">
      <c r="B152"/>
      <c r="C152"/>
      <c r="D152"/>
      <c r="E152"/>
      <c r="F152" s="7"/>
      <c r="G152" s="7"/>
      <c r="H152" s="7"/>
      <c r="I152" s="7"/>
      <c r="J152" s="7"/>
    </row>
    <row r="153" spans="2:10" x14ac:dyDescent="0.15">
      <c r="B153"/>
      <c r="C153"/>
      <c r="D153"/>
      <c r="E153"/>
      <c r="F153" s="7"/>
      <c r="G153" s="7"/>
      <c r="H153" s="7"/>
      <c r="I153" s="7"/>
      <c r="J153" s="7"/>
    </row>
    <row r="154" spans="2:10" x14ac:dyDescent="0.15">
      <c r="B154"/>
      <c r="C154"/>
      <c r="D154"/>
      <c r="E154"/>
      <c r="F154" s="7"/>
      <c r="G154" s="7"/>
      <c r="H154" s="7"/>
      <c r="I154" s="7"/>
      <c r="J154" s="7"/>
    </row>
    <row r="155" spans="2:10" x14ac:dyDescent="0.15">
      <c r="B155"/>
      <c r="C155"/>
      <c r="D155"/>
      <c r="E155"/>
      <c r="F155" s="7"/>
      <c r="G155" s="7"/>
      <c r="H155" s="7"/>
      <c r="I155" s="7"/>
      <c r="J155" s="7"/>
    </row>
    <row r="156" spans="2:10" x14ac:dyDescent="0.15">
      <c r="B156"/>
      <c r="C156"/>
      <c r="D156"/>
      <c r="E156"/>
      <c r="F156" s="7"/>
      <c r="G156" s="7"/>
      <c r="H156" s="7"/>
      <c r="I156" s="7"/>
      <c r="J156" s="7"/>
    </row>
    <row r="157" spans="2:10" x14ac:dyDescent="0.15">
      <c r="B157"/>
      <c r="C157"/>
      <c r="D157"/>
      <c r="E157"/>
      <c r="F157" s="7"/>
      <c r="G157" s="7"/>
      <c r="H157" s="7"/>
      <c r="I157" s="7"/>
      <c r="J157" s="7"/>
    </row>
    <row r="158" spans="2:10" x14ac:dyDescent="0.15">
      <c r="B158"/>
      <c r="C158"/>
      <c r="D158"/>
      <c r="E158"/>
      <c r="F158" s="7"/>
      <c r="G158" s="7"/>
      <c r="H158" s="7"/>
      <c r="I158" s="7"/>
      <c r="J158" s="7"/>
    </row>
    <row r="159" spans="2:10" x14ac:dyDescent="0.15">
      <c r="B159"/>
      <c r="C159"/>
      <c r="D159"/>
      <c r="E159"/>
      <c r="F159" s="7"/>
      <c r="G159" s="7"/>
      <c r="H159" s="7"/>
      <c r="I159" s="7"/>
      <c r="J159" s="7"/>
    </row>
    <row r="160" spans="2:10" x14ac:dyDescent="0.15">
      <c r="B160"/>
      <c r="C160"/>
      <c r="D160"/>
      <c r="E160"/>
      <c r="F160" s="7"/>
      <c r="G160" s="7"/>
      <c r="H160" s="7"/>
      <c r="I160" s="7"/>
      <c r="J160" s="7"/>
    </row>
    <row r="161" spans="2:10" x14ac:dyDescent="0.15">
      <c r="B161"/>
      <c r="C161"/>
      <c r="D161"/>
      <c r="E161"/>
      <c r="F161" s="7"/>
      <c r="G161" s="7"/>
      <c r="H161" s="7"/>
      <c r="I161" s="7"/>
      <c r="J161" s="7"/>
    </row>
    <row r="162" spans="2:10" x14ac:dyDescent="0.15">
      <c r="B162"/>
      <c r="C162"/>
      <c r="D162"/>
      <c r="E162"/>
      <c r="F162" s="7"/>
      <c r="G162" s="7"/>
      <c r="H162" s="7"/>
      <c r="I162" s="7"/>
      <c r="J162" s="7"/>
    </row>
    <row r="163" spans="2:10" x14ac:dyDescent="0.15">
      <c r="B163"/>
      <c r="C163"/>
      <c r="D163"/>
      <c r="E163"/>
      <c r="F163" s="7"/>
      <c r="G163" s="7"/>
      <c r="H163" s="7"/>
      <c r="I163" s="7"/>
      <c r="J163" s="7"/>
    </row>
    <row r="164" spans="2:10" x14ac:dyDescent="0.15">
      <c r="B164"/>
      <c r="C164"/>
      <c r="D164"/>
      <c r="E164"/>
      <c r="F164" s="7"/>
      <c r="G164" s="7"/>
      <c r="H164" s="7"/>
      <c r="I164" s="7"/>
      <c r="J164" s="7"/>
    </row>
    <row r="165" spans="2:10" x14ac:dyDescent="0.15">
      <c r="B165"/>
      <c r="C165"/>
      <c r="D165"/>
      <c r="E165"/>
      <c r="F165" s="7"/>
      <c r="G165" s="7"/>
      <c r="H165" s="7"/>
      <c r="I165" s="7"/>
      <c r="J165" s="7"/>
    </row>
    <row r="166" spans="2:10" x14ac:dyDescent="0.15">
      <c r="B166"/>
      <c r="C166"/>
      <c r="D166"/>
      <c r="E166"/>
      <c r="F166" s="7"/>
      <c r="G166" s="7"/>
      <c r="H166" s="7"/>
      <c r="I166" s="7"/>
      <c r="J166" s="7"/>
    </row>
    <row r="167" spans="2:10" x14ac:dyDescent="0.15">
      <c r="B167"/>
      <c r="C167"/>
      <c r="D167"/>
      <c r="E167"/>
      <c r="F167" s="7"/>
      <c r="G167" s="7"/>
      <c r="H167" s="7"/>
      <c r="I167" s="7"/>
      <c r="J167" s="7"/>
    </row>
    <row r="168" spans="2:10" x14ac:dyDescent="0.15">
      <c r="B168"/>
      <c r="C168"/>
      <c r="D168"/>
      <c r="E168"/>
      <c r="F168" s="7"/>
      <c r="G168" s="7"/>
      <c r="H168" s="7"/>
      <c r="I168" s="7"/>
      <c r="J168" s="7"/>
    </row>
    <row r="169" spans="2:10" x14ac:dyDescent="0.15">
      <c r="B169"/>
      <c r="C169"/>
      <c r="D169"/>
      <c r="E169"/>
      <c r="F169" s="7"/>
      <c r="G169" s="7"/>
      <c r="H169" s="7"/>
      <c r="I169" s="7"/>
      <c r="J169" s="7"/>
    </row>
    <row r="170" spans="2:10" x14ac:dyDescent="0.15">
      <c r="B170"/>
      <c r="C170"/>
      <c r="D170"/>
      <c r="E170"/>
      <c r="F170" s="7"/>
      <c r="G170" s="7"/>
      <c r="H170" s="7"/>
      <c r="I170" s="7"/>
      <c r="J170" s="7"/>
    </row>
    <row r="171" spans="2:10" x14ac:dyDescent="0.15">
      <c r="B171"/>
      <c r="C171"/>
      <c r="D171"/>
      <c r="E171"/>
      <c r="F171" s="7"/>
      <c r="G171" s="7"/>
      <c r="H171" s="7"/>
      <c r="I171" s="7"/>
      <c r="J171" s="7"/>
    </row>
    <row r="172" spans="2:10" x14ac:dyDescent="0.15">
      <c r="B172"/>
      <c r="C172"/>
      <c r="D172"/>
      <c r="E172"/>
      <c r="F172" s="7"/>
      <c r="G172" s="7"/>
      <c r="H172" s="7"/>
      <c r="I172" s="7"/>
      <c r="J172" s="7"/>
    </row>
    <row r="173" spans="2:10" x14ac:dyDescent="0.15">
      <c r="B173"/>
      <c r="C173"/>
      <c r="D173"/>
      <c r="E173"/>
      <c r="F173" s="7"/>
      <c r="G173" s="7"/>
      <c r="H173" s="7"/>
      <c r="I173" s="7"/>
      <c r="J173" s="7"/>
    </row>
    <row r="174" spans="2:10" x14ac:dyDescent="0.15">
      <c r="B174"/>
      <c r="C174"/>
      <c r="D174"/>
      <c r="E174"/>
      <c r="F174" s="7"/>
      <c r="G174" s="7"/>
      <c r="H174" s="7"/>
      <c r="I174" s="7"/>
      <c r="J174" s="7"/>
    </row>
    <row r="175" spans="2:10" x14ac:dyDescent="0.15">
      <c r="B175"/>
      <c r="C175"/>
      <c r="D175"/>
      <c r="E175"/>
      <c r="F175" s="7"/>
      <c r="G175" s="7"/>
      <c r="H175" s="7"/>
      <c r="I175" s="7"/>
      <c r="J175" s="7"/>
    </row>
    <row r="176" spans="2:10" x14ac:dyDescent="0.15">
      <c r="B176"/>
      <c r="C176"/>
      <c r="D176"/>
      <c r="E176"/>
      <c r="F176" s="7"/>
      <c r="G176" s="7"/>
      <c r="H176" s="7"/>
      <c r="I176" s="7"/>
      <c r="J176" s="7"/>
    </row>
    <row r="177" spans="2:10" x14ac:dyDescent="0.15">
      <c r="B177"/>
      <c r="C177"/>
      <c r="D177"/>
      <c r="E177"/>
      <c r="F177" s="7"/>
      <c r="G177" s="7"/>
      <c r="H177" s="7"/>
      <c r="I177" s="7"/>
      <c r="J177" s="7"/>
    </row>
    <row r="178" spans="2:10" x14ac:dyDescent="0.15">
      <c r="B178"/>
      <c r="C178"/>
      <c r="D178"/>
      <c r="E178"/>
      <c r="F178" s="7"/>
      <c r="G178" s="7"/>
      <c r="H178" s="7"/>
      <c r="I178" s="7"/>
      <c r="J178" s="7"/>
    </row>
    <row r="179" spans="2:10" x14ac:dyDescent="0.15">
      <c r="B179"/>
      <c r="C179"/>
      <c r="D179"/>
      <c r="E179"/>
      <c r="F179" s="7"/>
      <c r="G179" s="7"/>
      <c r="H179" s="7"/>
      <c r="I179" s="7"/>
      <c r="J179" s="7"/>
    </row>
    <row r="180" spans="2:10" x14ac:dyDescent="0.15">
      <c r="B180"/>
      <c r="C180"/>
      <c r="D180"/>
      <c r="E180"/>
      <c r="F180" s="7"/>
      <c r="G180" s="7"/>
      <c r="H180" s="7"/>
      <c r="I180" s="7"/>
      <c r="J180" s="7"/>
    </row>
    <row r="181" spans="2:10" x14ac:dyDescent="0.15">
      <c r="B181"/>
      <c r="C181"/>
      <c r="D181"/>
      <c r="E181"/>
      <c r="F181" s="7"/>
      <c r="G181" s="7"/>
      <c r="H181" s="7"/>
      <c r="I181" s="7"/>
      <c r="J181" s="7"/>
    </row>
    <row r="182" spans="2:10" x14ac:dyDescent="0.15">
      <c r="B182"/>
      <c r="C182"/>
      <c r="D182"/>
      <c r="E182"/>
      <c r="F182" s="7"/>
      <c r="G182" s="7"/>
      <c r="H182" s="7"/>
      <c r="I182" s="7"/>
      <c r="J182" s="7"/>
    </row>
    <row r="183" spans="2:10" x14ac:dyDescent="0.15">
      <c r="B183"/>
      <c r="C183"/>
      <c r="D183"/>
      <c r="E183"/>
      <c r="F183" s="7"/>
      <c r="G183" s="7"/>
      <c r="H183" s="7"/>
      <c r="I183" s="7"/>
      <c r="J183" s="7"/>
    </row>
    <row r="184" spans="2:10" x14ac:dyDescent="0.15">
      <c r="B184"/>
      <c r="C184"/>
      <c r="D184"/>
      <c r="E184"/>
      <c r="F184" s="7"/>
      <c r="G184" s="7"/>
      <c r="H184" s="7"/>
      <c r="I184" s="7"/>
      <c r="J184" s="7"/>
    </row>
    <row r="185" spans="2:10" x14ac:dyDescent="0.15">
      <c r="B185"/>
      <c r="C185"/>
      <c r="D185"/>
      <c r="E185"/>
      <c r="F185" s="7"/>
      <c r="G185" s="7"/>
      <c r="H185" s="7"/>
      <c r="I185" s="7"/>
      <c r="J185" s="7"/>
    </row>
    <row r="186" spans="2:10" x14ac:dyDescent="0.15">
      <c r="B186"/>
      <c r="C186"/>
      <c r="D186"/>
      <c r="E186"/>
      <c r="F186" s="7"/>
      <c r="G186" s="7"/>
      <c r="H186" s="7"/>
      <c r="I186" s="7"/>
      <c r="J186" s="7"/>
    </row>
    <row r="187" spans="2:10" x14ac:dyDescent="0.15">
      <c r="B187"/>
      <c r="C187"/>
      <c r="D187"/>
      <c r="E187"/>
      <c r="F187" s="7"/>
      <c r="G187" s="7"/>
      <c r="H187" s="7"/>
      <c r="I187" s="7"/>
      <c r="J187" s="7"/>
    </row>
    <row r="188" spans="2:10" x14ac:dyDescent="0.15">
      <c r="B188"/>
      <c r="C188"/>
      <c r="D188"/>
      <c r="E188"/>
      <c r="F188" s="7"/>
      <c r="G188" s="7"/>
      <c r="H188" s="7"/>
      <c r="I188" s="7"/>
      <c r="J188" s="7"/>
    </row>
    <row r="189" spans="2:10" x14ac:dyDescent="0.15">
      <c r="B189"/>
      <c r="C189"/>
      <c r="D189"/>
      <c r="E189"/>
      <c r="F189" s="7"/>
      <c r="G189" s="7"/>
      <c r="H189" s="7"/>
      <c r="I189" s="7"/>
      <c r="J189" s="7"/>
    </row>
    <row r="190" spans="2:10" x14ac:dyDescent="0.15">
      <c r="B190"/>
      <c r="C190"/>
      <c r="D190"/>
      <c r="E190"/>
      <c r="F190" s="7"/>
      <c r="G190" s="7"/>
      <c r="H190" s="7"/>
      <c r="I190" s="7"/>
      <c r="J190" s="7"/>
    </row>
    <row r="191" spans="2:10" x14ac:dyDescent="0.15">
      <c r="B191"/>
      <c r="C191"/>
      <c r="D191"/>
      <c r="E191"/>
      <c r="F191" s="7"/>
      <c r="G191" s="7"/>
      <c r="H191" s="7"/>
      <c r="I191" s="7"/>
      <c r="J191" s="7"/>
    </row>
    <row r="192" spans="2:10" x14ac:dyDescent="0.15">
      <c r="B192"/>
      <c r="C192"/>
      <c r="D192"/>
      <c r="E192"/>
      <c r="F192" s="7"/>
      <c r="G192" s="7"/>
      <c r="H192" s="7"/>
      <c r="I192" s="7"/>
      <c r="J192" s="7"/>
    </row>
    <row r="193" spans="2:10" x14ac:dyDescent="0.15">
      <c r="B193"/>
      <c r="C193"/>
      <c r="D193"/>
      <c r="E193"/>
      <c r="F193" s="7"/>
      <c r="G193" s="7"/>
      <c r="H193" s="7"/>
      <c r="I193" s="7"/>
      <c r="J193" s="7"/>
    </row>
    <row r="194" spans="2:10" x14ac:dyDescent="0.15">
      <c r="B194"/>
      <c r="C194"/>
      <c r="D194"/>
      <c r="E194"/>
      <c r="F194" s="7"/>
      <c r="G194" s="7"/>
      <c r="H194" s="7"/>
      <c r="I194" s="7"/>
      <c r="J194" s="7"/>
    </row>
    <row r="195" spans="2:10" x14ac:dyDescent="0.15">
      <c r="B195"/>
      <c r="C195"/>
      <c r="D195"/>
      <c r="E195"/>
      <c r="F195" s="7"/>
      <c r="G195" s="7"/>
      <c r="H195" s="7"/>
      <c r="I195" s="7"/>
      <c r="J195" s="7"/>
    </row>
    <row r="196" spans="2:10" x14ac:dyDescent="0.15">
      <c r="B196"/>
      <c r="C196"/>
      <c r="D196"/>
      <c r="E196"/>
      <c r="F196" s="7"/>
      <c r="G196" s="7"/>
      <c r="H196" s="7"/>
      <c r="I196" s="7"/>
      <c r="J196" s="7"/>
    </row>
    <row r="197" spans="2:10" x14ac:dyDescent="0.15">
      <c r="B197"/>
      <c r="C197"/>
      <c r="D197"/>
      <c r="E197"/>
      <c r="F197" s="7"/>
      <c r="G197" s="7"/>
      <c r="H197" s="7"/>
      <c r="I197" s="7"/>
      <c r="J197" s="7"/>
    </row>
    <row r="198" spans="2:10" x14ac:dyDescent="0.15">
      <c r="B198"/>
      <c r="C198"/>
      <c r="D198"/>
      <c r="E198"/>
      <c r="F198" s="7"/>
      <c r="G198" s="7"/>
      <c r="H198" s="7"/>
      <c r="I198" s="7"/>
      <c r="J198" s="7"/>
    </row>
    <row r="199" spans="2:10" x14ac:dyDescent="0.15">
      <c r="B199"/>
      <c r="C199"/>
      <c r="D199"/>
      <c r="E199"/>
      <c r="F199" s="7"/>
      <c r="G199" s="7"/>
      <c r="H199" s="7"/>
      <c r="I199" s="7"/>
      <c r="J199" s="7"/>
    </row>
    <row r="200" spans="2:10" x14ac:dyDescent="0.15">
      <c r="B200"/>
      <c r="C200"/>
      <c r="D200"/>
      <c r="E200"/>
      <c r="F200" s="7"/>
      <c r="G200" s="7"/>
      <c r="H200" s="7"/>
      <c r="I200" s="7"/>
      <c r="J200" s="7"/>
    </row>
    <row r="201" spans="2:10" x14ac:dyDescent="0.15">
      <c r="B201"/>
      <c r="C201"/>
      <c r="D201"/>
      <c r="E201"/>
      <c r="F201" s="7"/>
      <c r="G201" s="7"/>
      <c r="H201" s="7"/>
      <c r="I201" s="7"/>
      <c r="J201" s="7"/>
    </row>
    <row r="202" spans="2:10" x14ac:dyDescent="0.15">
      <c r="B202"/>
      <c r="C202"/>
      <c r="D202"/>
      <c r="E202"/>
      <c r="F202" s="7"/>
      <c r="G202" s="7"/>
      <c r="H202" s="7"/>
      <c r="I202" s="7"/>
      <c r="J202" s="7"/>
    </row>
    <row r="203" spans="2:10" x14ac:dyDescent="0.15">
      <c r="B203"/>
      <c r="C203"/>
      <c r="D203"/>
      <c r="E203"/>
      <c r="F203" s="7"/>
      <c r="G203" s="7"/>
      <c r="H203" s="7"/>
      <c r="I203" s="7"/>
      <c r="J203" s="7"/>
    </row>
    <row r="204" spans="2:10" x14ac:dyDescent="0.15">
      <c r="B204"/>
      <c r="C204"/>
      <c r="D204"/>
      <c r="E204"/>
      <c r="F204" s="7"/>
      <c r="G204" s="7"/>
      <c r="H204" s="7"/>
      <c r="I204" s="7"/>
      <c r="J204" s="7"/>
    </row>
    <row r="205" spans="2:10" x14ac:dyDescent="0.15">
      <c r="B205"/>
      <c r="C205"/>
      <c r="D205"/>
      <c r="E205"/>
      <c r="F205" s="7"/>
      <c r="G205" s="7"/>
      <c r="H205" s="7"/>
      <c r="I205" s="7"/>
      <c r="J205" s="7"/>
    </row>
    <row r="206" spans="2:10" x14ac:dyDescent="0.15">
      <c r="B206"/>
      <c r="C206"/>
      <c r="D206"/>
      <c r="E206"/>
      <c r="F206" s="7"/>
      <c r="G206" s="7"/>
      <c r="H206" s="7"/>
      <c r="I206" s="7"/>
      <c r="J206" s="7"/>
    </row>
    <row r="207" spans="2:10" x14ac:dyDescent="0.15">
      <c r="B207"/>
      <c r="C207"/>
      <c r="D207"/>
      <c r="E207"/>
      <c r="F207" s="7"/>
      <c r="G207" s="7"/>
      <c r="H207" s="7"/>
      <c r="I207" s="7"/>
      <c r="J207" s="7"/>
    </row>
    <row r="208" spans="2:10" x14ac:dyDescent="0.15">
      <c r="B208"/>
      <c r="C208"/>
      <c r="D208"/>
      <c r="E208"/>
      <c r="F208" s="7"/>
      <c r="G208" s="7"/>
      <c r="H208" s="7"/>
      <c r="I208" s="7"/>
      <c r="J208" s="7"/>
    </row>
    <row r="209" spans="2:10" x14ac:dyDescent="0.15">
      <c r="B209"/>
      <c r="C209"/>
      <c r="D209"/>
      <c r="E209"/>
      <c r="F209" s="7"/>
      <c r="G209" s="7"/>
      <c r="H209" s="7"/>
      <c r="I209" s="7"/>
      <c r="J209" s="7"/>
    </row>
    <row r="210" spans="2:10" x14ac:dyDescent="0.15">
      <c r="B210"/>
      <c r="C210"/>
      <c r="D210"/>
      <c r="E210"/>
      <c r="F210" s="7"/>
      <c r="G210" s="7"/>
      <c r="H210" s="7"/>
      <c r="I210" s="7"/>
      <c r="J210" s="7"/>
    </row>
    <row r="211" spans="2:10" x14ac:dyDescent="0.15">
      <c r="B211"/>
      <c r="C211"/>
      <c r="D211"/>
      <c r="E211"/>
      <c r="F211" s="7"/>
      <c r="G211" s="7"/>
      <c r="H211" s="7"/>
      <c r="I211" s="7"/>
      <c r="J211" s="7"/>
    </row>
    <row r="212" spans="2:10" x14ac:dyDescent="0.15">
      <c r="B212"/>
      <c r="C212"/>
      <c r="D212"/>
      <c r="E212"/>
      <c r="F212" s="7"/>
      <c r="G212" s="7"/>
      <c r="H212" s="7"/>
      <c r="I212" s="7"/>
      <c r="J212" s="7"/>
    </row>
    <row r="213" spans="2:10" x14ac:dyDescent="0.15">
      <c r="B213"/>
      <c r="C213"/>
      <c r="D213"/>
      <c r="E213"/>
      <c r="F213" s="7"/>
      <c r="G213" s="7"/>
      <c r="H213" s="7"/>
      <c r="I213" s="7"/>
      <c r="J213" s="7"/>
    </row>
    <row r="214" spans="2:10" x14ac:dyDescent="0.15">
      <c r="B214"/>
      <c r="C214"/>
      <c r="D214"/>
      <c r="E214"/>
      <c r="F214" s="7"/>
      <c r="G214" s="7"/>
      <c r="H214" s="7"/>
      <c r="I214" s="7"/>
      <c r="J214" s="7"/>
    </row>
    <row r="215" spans="2:10" x14ac:dyDescent="0.15">
      <c r="B215"/>
      <c r="C215"/>
      <c r="D215"/>
      <c r="E215"/>
      <c r="F215" s="7"/>
      <c r="G215" s="7"/>
      <c r="H215" s="7"/>
      <c r="I215" s="7"/>
      <c r="J215" s="7"/>
    </row>
    <row r="216" spans="2:10" x14ac:dyDescent="0.15">
      <c r="B216"/>
      <c r="C216"/>
      <c r="D216"/>
      <c r="E216"/>
      <c r="F216" s="7"/>
      <c r="G216" s="7"/>
      <c r="H216" s="7"/>
      <c r="I216" s="7"/>
      <c r="J216" s="7"/>
    </row>
    <row r="217" spans="2:10" x14ac:dyDescent="0.15">
      <c r="B217"/>
      <c r="C217"/>
      <c r="D217"/>
      <c r="E217"/>
      <c r="F217" s="7"/>
      <c r="G217" s="7"/>
      <c r="H217" s="7"/>
      <c r="I217" s="7"/>
      <c r="J217" s="7"/>
    </row>
    <row r="218" spans="2:10" x14ac:dyDescent="0.15">
      <c r="B218"/>
      <c r="C218"/>
      <c r="D218"/>
      <c r="E218"/>
      <c r="F218" s="7"/>
      <c r="G218" s="7"/>
      <c r="H218" s="7"/>
      <c r="I218" s="7"/>
      <c r="J218" s="7"/>
    </row>
    <row r="219" spans="2:10" x14ac:dyDescent="0.15">
      <c r="B219"/>
      <c r="C219"/>
      <c r="D219"/>
      <c r="E219"/>
      <c r="F219" s="7"/>
      <c r="G219" s="7"/>
      <c r="H219" s="7"/>
      <c r="I219" s="7"/>
      <c r="J219" s="7"/>
    </row>
    <row r="220" spans="2:10" x14ac:dyDescent="0.15">
      <c r="B220"/>
      <c r="C220"/>
      <c r="D220"/>
      <c r="E220"/>
      <c r="F220" s="7"/>
      <c r="G220" s="7"/>
      <c r="H220" s="7"/>
      <c r="I220" s="7"/>
      <c r="J220" s="7"/>
    </row>
    <row r="221" spans="2:10" x14ac:dyDescent="0.15">
      <c r="B221"/>
      <c r="C221"/>
      <c r="D221"/>
      <c r="E221"/>
      <c r="F221" s="7"/>
      <c r="G221" s="7"/>
      <c r="H221" s="7"/>
      <c r="I221" s="7"/>
      <c r="J221" s="7"/>
    </row>
    <row r="222" spans="2:10" x14ac:dyDescent="0.15">
      <c r="B222"/>
      <c r="C222"/>
      <c r="D222"/>
      <c r="E222"/>
      <c r="F222" s="7"/>
      <c r="G222" s="7"/>
      <c r="H222" s="7"/>
      <c r="I222" s="7"/>
      <c r="J222" s="7"/>
    </row>
    <row r="223" spans="2:10" x14ac:dyDescent="0.15">
      <c r="B223"/>
      <c r="C223"/>
      <c r="D223"/>
      <c r="E223"/>
      <c r="F223" s="7"/>
      <c r="G223" s="7"/>
      <c r="H223" s="7"/>
      <c r="I223" s="7"/>
      <c r="J223" s="7"/>
    </row>
    <row r="224" spans="2:10" x14ac:dyDescent="0.15">
      <c r="B224"/>
      <c r="C224"/>
      <c r="D224"/>
      <c r="E224"/>
      <c r="F224" s="7"/>
      <c r="G224" s="7"/>
      <c r="H224" s="7"/>
      <c r="I224" s="7"/>
      <c r="J224" s="7"/>
    </row>
    <row r="225" spans="2:10" x14ac:dyDescent="0.15">
      <c r="B225"/>
      <c r="C225"/>
      <c r="D225"/>
      <c r="E225"/>
      <c r="F225" s="7"/>
      <c r="G225" s="7"/>
      <c r="H225" s="7"/>
      <c r="I225" s="7"/>
      <c r="J225" s="7"/>
    </row>
    <row r="226" spans="2:10" x14ac:dyDescent="0.15">
      <c r="B226"/>
      <c r="C226"/>
      <c r="D226"/>
      <c r="E226"/>
      <c r="F226" s="7"/>
      <c r="G226" s="7"/>
      <c r="H226" s="7"/>
      <c r="I226" s="7"/>
      <c r="J226" s="7"/>
    </row>
    <row r="227" spans="2:10" x14ac:dyDescent="0.15">
      <c r="B227"/>
      <c r="C227"/>
      <c r="D227"/>
      <c r="E227"/>
      <c r="F227" s="7"/>
      <c r="G227" s="7"/>
      <c r="H227" s="7"/>
      <c r="I227" s="7"/>
      <c r="J227" s="7"/>
    </row>
    <row r="228" spans="2:10" x14ac:dyDescent="0.15">
      <c r="B228"/>
      <c r="C228"/>
      <c r="D228"/>
      <c r="E228"/>
      <c r="F228" s="7"/>
      <c r="G228" s="7"/>
      <c r="H228" s="7"/>
      <c r="I228" s="7"/>
      <c r="J228" s="7"/>
    </row>
    <row r="229" spans="2:10" x14ac:dyDescent="0.15">
      <c r="B229"/>
      <c r="C229"/>
      <c r="D229"/>
      <c r="E229"/>
      <c r="F229" s="7"/>
      <c r="G229" s="7"/>
      <c r="H229" s="7"/>
      <c r="I229" s="7"/>
      <c r="J229" s="7"/>
    </row>
    <row r="230" spans="2:10" x14ac:dyDescent="0.15">
      <c r="B230"/>
      <c r="C230"/>
      <c r="D230"/>
      <c r="E230"/>
      <c r="F230" s="7"/>
      <c r="G230" s="7"/>
      <c r="H230" s="7"/>
      <c r="I230" s="7"/>
      <c r="J230" s="7"/>
    </row>
    <row r="231" spans="2:10" x14ac:dyDescent="0.15">
      <c r="B231"/>
      <c r="C231"/>
      <c r="D231"/>
      <c r="E231"/>
      <c r="F231" s="7"/>
      <c r="G231" s="7"/>
      <c r="H231" s="7"/>
      <c r="I231" s="7"/>
      <c r="J231" s="7"/>
    </row>
    <row r="232" spans="2:10" x14ac:dyDescent="0.15">
      <c r="B232"/>
      <c r="C232"/>
      <c r="D232"/>
      <c r="E232"/>
      <c r="F232" s="7"/>
      <c r="G232" s="7"/>
      <c r="H232" s="7"/>
      <c r="I232" s="7"/>
      <c r="J232" s="7"/>
    </row>
    <row r="233" spans="2:10" x14ac:dyDescent="0.15">
      <c r="B233"/>
      <c r="C233"/>
      <c r="D233"/>
      <c r="E233"/>
      <c r="F233" s="7"/>
      <c r="G233" s="7"/>
      <c r="H233" s="7"/>
      <c r="I233" s="7"/>
      <c r="J233" s="7"/>
    </row>
    <row r="234" spans="2:10" x14ac:dyDescent="0.15">
      <c r="B234"/>
      <c r="C234"/>
      <c r="D234"/>
      <c r="E234"/>
      <c r="F234" s="7"/>
      <c r="G234" s="7"/>
      <c r="H234" s="7"/>
      <c r="I234" s="7"/>
      <c r="J234" s="7"/>
    </row>
    <row r="235" spans="2:10" x14ac:dyDescent="0.15">
      <c r="B235"/>
      <c r="C235"/>
      <c r="D235"/>
      <c r="E235"/>
      <c r="F235" s="7"/>
      <c r="G235" s="7"/>
      <c r="H235" s="7"/>
      <c r="I235" s="7"/>
      <c r="J235" s="7"/>
    </row>
    <row r="236" spans="2:10" x14ac:dyDescent="0.15">
      <c r="B236"/>
      <c r="C236"/>
      <c r="D236"/>
      <c r="E236"/>
      <c r="F236" s="7"/>
      <c r="G236" s="7"/>
      <c r="H236" s="7"/>
      <c r="I236" s="7"/>
      <c r="J236" s="7"/>
    </row>
    <row r="237" spans="2:10" x14ac:dyDescent="0.15">
      <c r="B237"/>
      <c r="C237"/>
      <c r="D237"/>
      <c r="E237"/>
      <c r="F237" s="7"/>
      <c r="G237" s="7"/>
      <c r="H237" s="7"/>
      <c r="I237" s="7"/>
      <c r="J237" s="7"/>
    </row>
    <row r="238" spans="2:10" x14ac:dyDescent="0.15">
      <c r="B238"/>
      <c r="C238"/>
      <c r="D238"/>
      <c r="E238"/>
      <c r="F238" s="7"/>
      <c r="G238" s="7"/>
      <c r="H238" s="7"/>
      <c r="I238" s="7"/>
      <c r="J238" s="7"/>
    </row>
    <row r="239" spans="2:10" x14ac:dyDescent="0.15">
      <c r="B239"/>
      <c r="C239"/>
      <c r="D239"/>
      <c r="E239"/>
      <c r="F239" s="7"/>
      <c r="G239" s="7"/>
      <c r="H239" s="7"/>
      <c r="I239" s="7"/>
      <c r="J239" s="7"/>
    </row>
    <row r="240" spans="2:10" x14ac:dyDescent="0.15">
      <c r="B240"/>
      <c r="C240"/>
      <c r="D240"/>
      <c r="E240"/>
      <c r="F240" s="7"/>
      <c r="G240" s="7"/>
      <c r="H240" s="7"/>
      <c r="I240" s="7"/>
      <c r="J240" s="7"/>
    </row>
    <row r="241" spans="2:10" x14ac:dyDescent="0.15">
      <c r="B241"/>
      <c r="C241"/>
      <c r="D241"/>
      <c r="E241"/>
      <c r="F241" s="7"/>
      <c r="G241" s="7"/>
      <c r="H241" s="7"/>
      <c r="I241" s="7"/>
      <c r="J241" s="7"/>
    </row>
    <row r="242" spans="2:10" x14ac:dyDescent="0.15">
      <c r="B242"/>
      <c r="C242"/>
      <c r="D242"/>
      <c r="E242"/>
      <c r="F242" s="7"/>
      <c r="G242" s="7"/>
      <c r="H242" s="7"/>
      <c r="I242" s="7"/>
      <c r="J242" s="7"/>
    </row>
    <row r="243" spans="2:10" x14ac:dyDescent="0.15">
      <c r="B243"/>
      <c r="C243"/>
      <c r="D243"/>
      <c r="E243"/>
      <c r="F243" s="7"/>
      <c r="G243" s="7"/>
      <c r="H243" s="7"/>
      <c r="I243" s="7"/>
      <c r="J243" s="7"/>
    </row>
    <row r="244" spans="2:10" x14ac:dyDescent="0.15">
      <c r="B244"/>
      <c r="C244"/>
      <c r="D244"/>
      <c r="E244"/>
      <c r="F244" s="7"/>
      <c r="G244" s="7"/>
      <c r="H244" s="7"/>
      <c r="I244" s="7"/>
      <c r="J244" s="7"/>
    </row>
    <row r="245" spans="2:10" x14ac:dyDescent="0.15">
      <c r="B245"/>
      <c r="C245"/>
      <c r="D245"/>
      <c r="E245"/>
      <c r="F245" s="7"/>
      <c r="G245" s="7"/>
      <c r="H245" s="7"/>
      <c r="I245" s="7"/>
      <c r="J245" s="7"/>
    </row>
    <row r="246" spans="2:10" x14ac:dyDescent="0.15">
      <c r="B246"/>
      <c r="C246"/>
      <c r="D246"/>
      <c r="E246"/>
      <c r="F246" s="7"/>
      <c r="G246" s="7"/>
      <c r="H246" s="7"/>
      <c r="I246" s="7"/>
      <c r="J246" s="7"/>
    </row>
    <row r="247" spans="2:10" x14ac:dyDescent="0.15">
      <c r="B247"/>
      <c r="C247"/>
      <c r="D247"/>
      <c r="E247"/>
      <c r="F247" s="7"/>
      <c r="G247" s="7"/>
      <c r="H247" s="7"/>
      <c r="I247" s="7"/>
      <c r="J247" s="7"/>
    </row>
    <row r="248" spans="2:10" x14ac:dyDescent="0.15">
      <c r="B248"/>
      <c r="C248"/>
      <c r="D248"/>
      <c r="E248"/>
      <c r="F248" s="7"/>
      <c r="G248" s="7"/>
      <c r="H248" s="7"/>
      <c r="I248" s="7"/>
      <c r="J248" s="7"/>
    </row>
    <row r="249" spans="2:10" x14ac:dyDescent="0.15">
      <c r="B249"/>
      <c r="C249"/>
      <c r="D249"/>
      <c r="E249"/>
      <c r="F249" s="7"/>
      <c r="G249" s="7"/>
      <c r="H249" s="7"/>
      <c r="I249" s="7"/>
      <c r="J249" s="7"/>
    </row>
    <row r="250" spans="2:10" x14ac:dyDescent="0.15">
      <c r="B250"/>
      <c r="C250"/>
      <c r="D250"/>
      <c r="E250"/>
      <c r="F250" s="7"/>
      <c r="G250" s="7"/>
      <c r="H250" s="7"/>
      <c r="I250" s="7"/>
      <c r="J250" s="7"/>
    </row>
    <row r="251" spans="2:10" x14ac:dyDescent="0.15">
      <c r="B251"/>
      <c r="C251"/>
      <c r="D251"/>
      <c r="E251"/>
      <c r="F251" s="7"/>
      <c r="G251" s="7"/>
      <c r="H251" s="7"/>
      <c r="I251" s="7"/>
      <c r="J251" s="7"/>
    </row>
    <row r="252" spans="2:10" x14ac:dyDescent="0.15">
      <c r="B252"/>
      <c r="C252"/>
      <c r="D252"/>
      <c r="E252"/>
      <c r="F252" s="7"/>
      <c r="G252" s="7"/>
      <c r="H252" s="7"/>
      <c r="I252" s="7"/>
      <c r="J252" s="7"/>
    </row>
    <row r="253" spans="2:10" x14ac:dyDescent="0.15">
      <c r="B253"/>
      <c r="C253"/>
      <c r="D253"/>
      <c r="E253"/>
      <c r="F253" s="7"/>
      <c r="G253" s="7"/>
      <c r="H253" s="7"/>
      <c r="I253" s="7"/>
      <c r="J253" s="7"/>
    </row>
    <row r="254" spans="2:10" x14ac:dyDescent="0.15">
      <c r="B254"/>
      <c r="C254"/>
      <c r="D254"/>
      <c r="E254"/>
      <c r="F254" s="7"/>
      <c r="G254" s="7"/>
      <c r="H254" s="7"/>
      <c r="I254" s="7"/>
      <c r="J254" s="7"/>
    </row>
    <row r="255" spans="2:10" x14ac:dyDescent="0.15">
      <c r="B255"/>
      <c r="C255"/>
      <c r="D255"/>
      <c r="E255"/>
      <c r="F255" s="7"/>
      <c r="G255" s="7"/>
      <c r="H255" s="7"/>
      <c r="I255" s="7"/>
      <c r="J255" s="7"/>
    </row>
    <row r="256" spans="2:10" x14ac:dyDescent="0.15">
      <c r="B256"/>
      <c r="C256"/>
      <c r="D256"/>
      <c r="E256"/>
      <c r="F256" s="7"/>
      <c r="G256" s="7"/>
      <c r="H256" s="7"/>
      <c r="I256" s="7"/>
      <c r="J256" s="7"/>
    </row>
    <row r="257" spans="2:10" x14ac:dyDescent="0.15">
      <c r="B257"/>
      <c r="C257"/>
      <c r="D257"/>
      <c r="E257"/>
      <c r="F257" s="7"/>
      <c r="G257" s="7"/>
      <c r="H257" s="7"/>
      <c r="I257" s="7"/>
      <c r="J257" s="7"/>
    </row>
    <row r="258" spans="2:10" x14ac:dyDescent="0.15">
      <c r="B258"/>
      <c r="C258"/>
      <c r="D258"/>
      <c r="E258"/>
      <c r="F258" s="7"/>
      <c r="G258" s="7"/>
      <c r="H258" s="7"/>
      <c r="I258" s="7"/>
      <c r="J258" s="7"/>
    </row>
    <row r="259" spans="2:10" x14ac:dyDescent="0.15">
      <c r="B259"/>
      <c r="C259"/>
      <c r="D259"/>
      <c r="E259"/>
      <c r="F259" s="7"/>
      <c r="G259" s="7"/>
      <c r="H259" s="7"/>
      <c r="I259" s="7"/>
      <c r="J259" s="7"/>
    </row>
    <row r="260" spans="2:10" x14ac:dyDescent="0.15">
      <c r="B260"/>
      <c r="C260"/>
      <c r="D260"/>
      <c r="E260"/>
      <c r="F260" s="7"/>
      <c r="G260" s="7"/>
      <c r="H260" s="7"/>
      <c r="I260" s="7"/>
      <c r="J260" s="7"/>
    </row>
    <row r="261" spans="2:10" x14ac:dyDescent="0.15">
      <c r="B261"/>
      <c r="C261"/>
      <c r="D261"/>
      <c r="E261"/>
      <c r="F261" s="7"/>
      <c r="G261" s="7"/>
      <c r="H261" s="7"/>
      <c r="I261" s="7"/>
      <c r="J261" s="7"/>
    </row>
    <row r="262" spans="2:10" x14ac:dyDescent="0.15">
      <c r="B262"/>
      <c r="C262"/>
      <c r="D262"/>
      <c r="E262"/>
      <c r="F262" s="7"/>
      <c r="G262" s="7"/>
      <c r="H262" s="7"/>
      <c r="I262" s="7"/>
      <c r="J262" s="7"/>
    </row>
    <row r="263" spans="2:10" x14ac:dyDescent="0.15">
      <c r="B263"/>
      <c r="C263"/>
      <c r="D263"/>
      <c r="E263"/>
      <c r="F263" s="7"/>
      <c r="G263" s="7"/>
      <c r="H263" s="7"/>
      <c r="I263" s="7"/>
      <c r="J263" s="7"/>
    </row>
    <row r="264" spans="2:10" x14ac:dyDescent="0.15">
      <c r="B264"/>
      <c r="C264"/>
      <c r="D264"/>
      <c r="E264"/>
      <c r="F264" s="7"/>
      <c r="G264" s="7"/>
      <c r="H264" s="7"/>
      <c r="I264" s="7"/>
      <c r="J264" s="7"/>
    </row>
    <row r="265" spans="2:10" x14ac:dyDescent="0.15">
      <c r="B265"/>
      <c r="C265"/>
      <c r="D265"/>
      <c r="E265"/>
      <c r="F265" s="7"/>
      <c r="G265" s="7"/>
      <c r="H265" s="7"/>
      <c r="I265" s="7"/>
      <c r="J265" s="7"/>
    </row>
    <row r="266" spans="2:10" x14ac:dyDescent="0.15">
      <c r="B266"/>
      <c r="C266"/>
      <c r="D266"/>
      <c r="E266"/>
      <c r="F266" s="7"/>
      <c r="G266" s="7"/>
      <c r="H266" s="7"/>
      <c r="I266" s="7"/>
      <c r="J266" s="7"/>
    </row>
    <row r="267" spans="2:10" x14ac:dyDescent="0.15">
      <c r="B267"/>
      <c r="C267"/>
      <c r="D267"/>
      <c r="E267"/>
      <c r="F267" s="7"/>
      <c r="G267" s="7"/>
      <c r="H267" s="7"/>
      <c r="I267" s="7"/>
      <c r="J267" s="7"/>
    </row>
    <row r="268" spans="2:10" x14ac:dyDescent="0.15">
      <c r="B268"/>
      <c r="C268"/>
      <c r="D268"/>
      <c r="E268"/>
      <c r="F268" s="7"/>
      <c r="G268" s="7"/>
      <c r="H268" s="7"/>
      <c r="I268" s="7"/>
      <c r="J268" s="7"/>
    </row>
    <row r="269" spans="2:10" x14ac:dyDescent="0.15">
      <c r="B269"/>
      <c r="C269"/>
      <c r="D269"/>
      <c r="E269"/>
      <c r="F269" s="7"/>
      <c r="G269" s="7"/>
      <c r="H269" s="7"/>
      <c r="I269" s="7"/>
      <c r="J269" s="7"/>
    </row>
    <row r="270" spans="2:10" x14ac:dyDescent="0.15">
      <c r="B270"/>
      <c r="C270"/>
      <c r="D270"/>
      <c r="E270"/>
      <c r="F270" s="7"/>
      <c r="G270" s="7"/>
      <c r="H270" s="7"/>
      <c r="I270" s="7"/>
      <c r="J270" s="7"/>
    </row>
    <row r="271" spans="2:10" x14ac:dyDescent="0.15">
      <c r="B271"/>
      <c r="C271"/>
      <c r="D271"/>
      <c r="E271"/>
      <c r="F271" s="7"/>
      <c r="G271" s="7"/>
      <c r="H271" s="7"/>
      <c r="I271" s="7"/>
      <c r="J271" s="7"/>
    </row>
    <row r="272" spans="2:10" x14ac:dyDescent="0.15">
      <c r="B272"/>
      <c r="C272"/>
      <c r="D272"/>
      <c r="E272"/>
      <c r="F272" s="7"/>
      <c r="G272" s="7"/>
      <c r="H272" s="7"/>
      <c r="I272" s="7"/>
      <c r="J272" s="7"/>
    </row>
    <row r="273" spans="2:10" x14ac:dyDescent="0.15">
      <c r="B273"/>
      <c r="C273"/>
      <c r="D273"/>
      <c r="E273"/>
      <c r="F273" s="7"/>
      <c r="G273" s="7"/>
      <c r="H273" s="7"/>
      <c r="I273" s="7"/>
      <c r="J273" s="7"/>
    </row>
    <row r="274" spans="2:10" x14ac:dyDescent="0.15">
      <c r="B274"/>
      <c r="C274"/>
      <c r="D274"/>
      <c r="E274"/>
      <c r="F274" s="7"/>
      <c r="G274" s="7"/>
      <c r="H274" s="7"/>
      <c r="I274" s="7"/>
      <c r="J274" s="7"/>
    </row>
    <row r="275" spans="2:10" x14ac:dyDescent="0.15">
      <c r="B275"/>
      <c r="C275"/>
      <c r="D275"/>
      <c r="E275"/>
      <c r="F275" s="7"/>
      <c r="G275" s="7"/>
      <c r="H275" s="7"/>
      <c r="I275" s="7"/>
      <c r="J275" s="7"/>
    </row>
    <row r="276" spans="2:10" x14ac:dyDescent="0.15">
      <c r="B276"/>
      <c r="C276"/>
      <c r="D276"/>
      <c r="E276"/>
      <c r="F276" s="7"/>
      <c r="G276" s="7"/>
      <c r="H276" s="7"/>
      <c r="I276" s="7"/>
      <c r="J276" s="7"/>
    </row>
    <row r="277" spans="2:10" x14ac:dyDescent="0.15">
      <c r="B277"/>
      <c r="C277"/>
      <c r="D277"/>
      <c r="E277"/>
      <c r="F277" s="7"/>
      <c r="G277" s="7"/>
      <c r="H277" s="7"/>
      <c r="I277" s="7"/>
      <c r="J277" s="7"/>
    </row>
    <row r="278" spans="2:10" x14ac:dyDescent="0.15">
      <c r="B278"/>
      <c r="C278"/>
      <c r="D278"/>
      <c r="E278"/>
      <c r="F278" s="7"/>
      <c r="G278" s="7"/>
      <c r="H278" s="7"/>
      <c r="I278" s="7"/>
      <c r="J278" s="7"/>
    </row>
    <row r="279" spans="2:10" x14ac:dyDescent="0.15">
      <c r="B279"/>
      <c r="C279"/>
      <c r="D279"/>
      <c r="E279"/>
      <c r="F279" s="7"/>
      <c r="G279" s="7"/>
      <c r="H279" s="7"/>
      <c r="I279" s="7"/>
      <c r="J279" s="7"/>
    </row>
    <row r="280" spans="2:10" x14ac:dyDescent="0.15">
      <c r="B280"/>
      <c r="C280"/>
      <c r="D280"/>
      <c r="E280"/>
      <c r="F280" s="7"/>
      <c r="G280" s="7"/>
      <c r="H280" s="7"/>
      <c r="I280" s="7"/>
      <c r="J280" s="7"/>
    </row>
    <row r="281" spans="2:10" x14ac:dyDescent="0.15">
      <c r="B281"/>
      <c r="C281"/>
      <c r="D281"/>
      <c r="E281"/>
      <c r="F281" s="7"/>
      <c r="G281" s="7"/>
      <c r="H281" s="7"/>
      <c r="I281" s="7"/>
      <c r="J281" s="7"/>
    </row>
    <row r="282" spans="2:10" x14ac:dyDescent="0.15">
      <c r="B282"/>
      <c r="C282"/>
      <c r="D282"/>
      <c r="E282"/>
      <c r="F282" s="7"/>
      <c r="G282" s="7"/>
      <c r="H282" s="7"/>
      <c r="I282" s="7"/>
      <c r="J282" s="7"/>
    </row>
    <row r="283" spans="2:10" x14ac:dyDescent="0.15">
      <c r="B283"/>
      <c r="C283"/>
      <c r="D283"/>
      <c r="E283"/>
      <c r="F283" s="7"/>
      <c r="G283" s="7"/>
      <c r="H283" s="7"/>
      <c r="I283" s="7"/>
      <c r="J283" s="7"/>
    </row>
    <row r="284" spans="2:10" x14ac:dyDescent="0.15">
      <c r="B284"/>
      <c r="C284"/>
      <c r="D284"/>
      <c r="E284"/>
      <c r="F284" s="7"/>
      <c r="G284" s="7"/>
      <c r="H284" s="7"/>
      <c r="I284" s="7"/>
      <c r="J284" s="7"/>
    </row>
    <row r="285" spans="2:10" x14ac:dyDescent="0.15">
      <c r="B285"/>
      <c r="C285"/>
      <c r="D285"/>
      <c r="E285"/>
      <c r="F285" s="7"/>
      <c r="G285" s="7"/>
      <c r="H285" s="7"/>
      <c r="I285" s="7"/>
      <c r="J285" s="7"/>
    </row>
    <row r="286" spans="2:10" x14ac:dyDescent="0.15">
      <c r="B286"/>
      <c r="C286"/>
      <c r="D286"/>
      <c r="E286"/>
      <c r="F286" s="7"/>
      <c r="G286" s="7"/>
      <c r="H286" s="7"/>
      <c r="I286" s="7"/>
      <c r="J286" s="7"/>
    </row>
    <row r="287" spans="2:10" x14ac:dyDescent="0.15">
      <c r="B287"/>
      <c r="C287"/>
      <c r="D287"/>
      <c r="E287"/>
      <c r="F287" s="7"/>
      <c r="G287" s="7"/>
      <c r="H287" s="7"/>
      <c r="I287" s="7"/>
      <c r="J287" s="7"/>
    </row>
    <row r="288" spans="2:10" x14ac:dyDescent="0.15">
      <c r="B288"/>
      <c r="C288"/>
      <c r="D288"/>
      <c r="E288"/>
      <c r="F288" s="7"/>
      <c r="G288" s="7"/>
      <c r="H288" s="7"/>
      <c r="I288" s="7"/>
      <c r="J288" s="7"/>
    </row>
    <row r="289" spans="2:10" x14ac:dyDescent="0.15">
      <c r="B289"/>
      <c r="C289"/>
      <c r="D289"/>
      <c r="E289"/>
      <c r="F289" s="7"/>
      <c r="G289" s="7"/>
      <c r="H289" s="7"/>
      <c r="I289" s="7"/>
      <c r="J289" s="7"/>
    </row>
    <row r="290" spans="2:10" x14ac:dyDescent="0.15">
      <c r="B290"/>
      <c r="C290"/>
      <c r="D290"/>
      <c r="E290"/>
      <c r="F290" s="7"/>
      <c r="G290" s="7"/>
      <c r="H290" s="7"/>
      <c r="I290" s="7"/>
      <c r="J290" s="7"/>
    </row>
    <row r="291" spans="2:10" x14ac:dyDescent="0.15">
      <c r="B291"/>
      <c r="C291"/>
      <c r="D291"/>
      <c r="E291"/>
      <c r="F291" s="7"/>
      <c r="G291" s="7"/>
      <c r="H291" s="7"/>
      <c r="I291" s="7"/>
      <c r="J291" s="7"/>
    </row>
    <row r="292" spans="2:10" x14ac:dyDescent="0.15">
      <c r="B292"/>
      <c r="C292"/>
      <c r="D292"/>
      <c r="E292"/>
      <c r="F292" s="7"/>
      <c r="G292" s="7"/>
      <c r="H292" s="7"/>
      <c r="I292" s="7"/>
      <c r="J292" s="7"/>
    </row>
    <row r="293" spans="2:10" x14ac:dyDescent="0.15">
      <c r="B293"/>
      <c r="C293"/>
      <c r="D293"/>
      <c r="E293"/>
      <c r="F293" s="7"/>
      <c r="G293" s="7"/>
      <c r="H293" s="7"/>
      <c r="I293" s="7"/>
      <c r="J293" s="7"/>
    </row>
    <row r="294" spans="2:10" x14ac:dyDescent="0.15">
      <c r="B294"/>
      <c r="C294"/>
      <c r="D294"/>
      <c r="E294"/>
      <c r="F294" s="7"/>
      <c r="G294" s="7"/>
      <c r="H294" s="7"/>
      <c r="I294" s="7"/>
      <c r="J294" s="7"/>
    </row>
    <row r="295" spans="2:10" x14ac:dyDescent="0.15">
      <c r="B295"/>
      <c r="C295"/>
      <c r="D295"/>
      <c r="E295"/>
      <c r="F295" s="7"/>
      <c r="G295" s="7"/>
      <c r="H295" s="7"/>
      <c r="I295" s="7"/>
      <c r="J295" s="7"/>
    </row>
    <row r="296" spans="2:10" x14ac:dyDescent="0.15">
      <c r="B296"/>
      <c r="C296"/>
      <c r="D296"/>
      <c r="E296"/>
      <c r="F296" s="7"/>
      <c r="G296" s="7"/>
      <c r="H296" s="7"/>
      <c r="I296" s="7"/>
      <c r="J296" s="7"/>
    </row>
    <row r="297" spans="2:10" x14ac:dyDescent="0.15">
      <c r="B297"/>
      <c r="C297"/>
      <c r="D297"/>
      <c r="E297"/>
      <c r="F297" s="7"/>
      <c r="G297" s="7"/>
      <c r="H297" s="7"/>
      <c r="I297" s="7"/>
      <c r="J297" s="7"/>
    </row>
    <row r="298" spans="2:10" x14ac:dyDescent="0.15">
      <c r="B298"/>
      <c r="C298"/>
      <c r="D298"/>
      <c r="E298"/>
      <c r="F298" s="7"/>
      <c r="G298" s="7"/>
      <c r="H298" s="7"/>
      <c r="I298" s="7"/>
      <c r="J298" s="7"/>
    </row>
    <row r="299" spans="2:10" x14ac:dyDescent="0.15">
      <c r="B299"/>
      <c r="C299"/>
      <c r="D299"/>
      <c r="E299"/>
      <c r="F299" s="7"/>
      <c r="G299" s="7"/>
      <c r="H299" s="7"/>
      <c r="I299" s="7"/>
      <c r="J299" s="7"/>
    </row>
    <row r="300" spans="2:10" x14ac:dyDescent="0.15">
      <c r="B300"/>
      <c r="C300"/>
      <c r="D300"/>
      <c r="E300"/>
      <c r="F300" s="7"/>
      <c r="G300" s="7"/>
      <c r="H300" s="7"/>
      <c r="I300" s="7"/>
      <c r="J300" s="7"/>
    </row>
    <row r="301" spans="2:10" x14ac:dyDescent="0.15">
      <c r="B301"/>
      <c r="C301"/>
      <c r="D301"/>
      <c r="E301"/>
      <c r="F301" s="7"/>
      <c r="G301" s="7"/>
      <c r="H301" s="7"/>
      <c r="I301" s="7"/>
      <c r="J301" s="7"/>
    </row>
    <row r="302" spans="2:10" x14ac:dyDescent="0.15">
      <c r="B302"/>
      <c r="C302"/>
      <c r="D302"/>
      <c r="E302"/>
      <c r="F302" s="7"/>
      <c r="G302" s="7"/>
      <c r="H302" s="7"/>
      <c r="I302" s="7"/>
      <c r="J302" s="7"/>
    </row>
    <row r="303" spans="2:10" x14ac:dyDescent="0.15">
      <c r="B303"/>
      <c r="C303"/>
      <c r="D303"/>
      <c r="E303"/>
      <c r="F303" s="7"/>
      <c r="G303" s="7"/>
      <c r="H303" s="7"/>
      <c r="I303" s="7"/>
      <c r="J303" s="7"/>
    </row>
    <row r="304" spans="2:10" x14ac:dyDescent="0.15">
      <c r="B304"/>
      <c r="C304"/>
      <c r="D304"/>
      <c r="E304"/>
      <c r="F304" s="7"/>
      <c r="G304" s="7"/>
      <c r="H304" s="7"/>
      <c r="I304" s="7"/>
      <c r="J304" s="7"/>
    </row>
    <row r="305" spans="2:10" x14ac:dyDescent="0.15">
      <c r="B305"/>
      <c r="C305"/>
      <c r="D305"/>
      <c r="E305"/>
      <c r="F305" s="7"/>
      <c r="G305" s="7"/>
      <c r="H305" s="7"/>
      <c r="I305" s="7"/>
      <c r="J305" s="7"/>
    </row>
    <row r="306" spans="2:10" x14ac:dyDescent="0.15">
      <c r="B306"/>
      <c r="C306"/>
      <c r="D306"/>
      <c r="E306"/>
      <c r="F306" s="7"/>
      <c r="G306" s="7"/>
      <c r="H306" s="7"/>
      <c r="I306" s="7"/>
      <c r="J306" s="7"/>
    </row>
    <row r="307" spans="2:10" x14ac:dyDescent="0.15">
      <c r="B307"/>
      <c r="C307"/>
      <c r="D307"/>
      <c r="E307"/>
      <c r="F307" s="7"/>
      <c r="G307" s="7"/>
      <c r="H307" s="7"/>
      <c r="I307" s="7"/>
      <c r="J307" s="7"/>
    </row>
    <row r="308" spans="2:10" x14ac:dyDescent="0.15">
      <c r="B308"/>
      <c r="C308"/>
      <c r="D308"/>
      <c r="E308"/>
      <c r="F308" s="7"/>
      <c r="G308" s="7"/>
      <c r="H308" s="7"/>
      <c r="I308" s="7"/>
      <c r="J308" s="7"/>
    </row>
    <row r="309" spans="2:10" x14ac:dyDescent="0.15">
      <c r="B309"/>
      <c r="C309"/>
      <c r="D309"/>
      <c r="E309"/>
      <c r="F309" s="7"/>
      <c r="G309" s="7"/>
      <c r="H309" s="7"/>
      <c r="I309" s="7"/>
      <c r="J309" s="7"/>
    </row>
    <row r="310" spans="2:10" x14ac:dyDescent="0.15">
      <c r="B310"/>
      <c r="C310"/>
      <c r="D310"/>
      <c r="E310"/>
      <c r="F310" s="7"/>
      <c r="G310" s="7"/>
      <c r="H310" s="7"/>
      <c r="I310" s="7"/>
      <c r="J310" s="7"/>
    </row>
    <row r="311" spans="2:10" x14ac:dyDescent="0.15">
      <c r="B311"/>
      <c r="C311"/>
      <c r="D311"/>
      <c r="E311"/>
      <c r="F311" s="7"/>
      <c r="G311" s="7"/>
      <c r="H311" s="7"/>
      <c r="I311" s="7"/>
      <c r="J311" s="7"/>
    </row>
    <row r="312" spans="2:10" x14ac:dyDescent="0.15">
      <c r="B312"/>
      <c r="C312"/>
      <c r="D312"/>
      <c r="E312"/>
      <c r="F312" s="7"/>
      <c r="G312" s="7"/>
      <c r="H312" s="7"/>
      <c r="I312" s="7"/>
      <c r="J312" s="7"/>
    </row>
    <row r="313" spans="2:10" x14ac:dyDescent="0.15">
      <c r="B313"/>
      <c r="C313"/>
      <c r="D313"/>
      <c r="E313"/>
      <c r="F313" s="7"/>
      <c r="G313" s="7"/>
      <c r="H313" s="7"/>
      <c r="I313" s="7"/>
      <c r="J313" s="7"/>
    </row>
    <row r="314" spans="2:10" x14ac:dyDescent="0.15">
      <c r="B314"/>
      <c r="C314"/>
      <c r="D314"/>
      <c r="E314"/>
      <c r="F314" s="7"/>
      <c r="G314" s="7"/>
      <c r="H314" s="7"/>
      <c r="I314" s="7"/>
      <c r="J314" s="7"/>
    </row>
    <row r="315" spans="2:10" x14ac:dyDescent="0.15">
      <c r="B315"/>
      <c r="C315"/>
      <c r="D315"/>
      <c r="E315"/>
      <c r="F315" s="7"/>
      <c r="G315" s="7"/>
      <c r="H315" s="7"/>
      <c r="I315" s="7"/>
      <c r="J315" s="7"/>
    </row>
    <row r="316" spans="2:10" x14ac:dyDescent="0.15">
      <c r="B316"/>
      <c r="C316"/>
      <c r="D316"/>
      <c r="E316"/>
      <c r="F316" s="7"/>
      <c r="G316" s="7"/>
      <c r="H316" s="7"/>
      <c r="I316" s="7"/>
      <c r="J316" s="7"/>
    </row>
    <row r="317" spans="2:10" x14ac:dyDescent="0.15">
      <c r="B317"/>
      <c r="C317"/>
      <c r="D317"/>
      <c r="E317"/>
      <c r="F317" s="7"/>
      <c r="G317" s="7"/>
      <c r="H317" s="7"/>
      <c r="I317" s="7"/>
      <c r="J317" s="7"/>
    </row>
    <row r="318" spans="2:10" x14ac:dyDescent="0.15">
      <c r="B318"/>
      <c r="C318"/>
      <c r="D318"/>
      <c r="E318"/>
      <c r="F318" s="7"/>
      <c r="G318" s="7"/>
      <c r="H318" s="7"/>
      <c r="I318" s="7"/>
      <c r="J318" s="7"/>
    </row>
    <row r="319" spans="2:10" x14ac:dyDescent="0.15">
      <c r="B319"/>
      <c r="C319"/>
      <c r="D319"/>
      <c r="E319"/>
      <c r="F319" s="7"/>
      <c r="G319" s="7"/>
      <c r="H319" s="7"/>
      <c r="I319" s="7"/>
      <c r="J319" s="7"/>
    </row>
    <row r="320" spans="2:10" x14ac:dyDescent="0.15">
      <c r="B320"/>
      <c r="C320"/>
      <c r="D320"/>
      <c r="E320"/>
      <c r="F320" s="7"/>
      <c r="G320" s="7"/>
      <c r="H320" s="7"/>
      <c r="I320" s="7"/>
      <c r="J320" s="7"/>
    </row>
    <row r="321" spans="2:10" x14ac:dyDescent="0.15">
      <c r="B321"/>
      <c r="C321"/>
      <c r="D321"/>
      <c r="E321"/>
      <c r="F321" s="7"/>
      <c r="G321" s="7"/>
      <c r="H321" s="7"/>
      <c r="I321" s="7"/>
      <c r="J321" s="7"/>
    </row>
    <row r="322" spans="2:10" x14ac:dyDescent="0.15">
      <c r="B322"/>
      <c r="C322"/>
      <c r="D322"/>
      <c r="E322"/>
      <c r="F322" s="7"/>
      <c r="G322" s="7"/>
      <c r="H322" s="7"/>
      <c r="I322" s="7"/>
      <c r="J322" s="7"/>
    </row>
    <row r="323" spans="2:10" x14ac:dyDescent="0.15">
      <c r="B323"/>
      <c r="C323"/>
      <c r="D323"/>
      <c r="E323"/>
      <c r="F323" s="7"/>
      <c r="G323" s="7"/>
      <c r="H323" s="7"/>
      <c r="I323" s="7"/>
      <c r="J323" s="7"/>
    </row>
    <row r="324" spans="2:10" x14ac:dyDescent="0.15">
      <c r="B324"/>
      <c r="C324"/>
      <c r="D324"/>
      <c r="E324"/>
      <c r="F324" s="7"/>
      <c r="G324" s="7"/>
      <c r="H324" s="7"/>
      <c r="I324" s="7"/>
      <c r="J324" s="7"/>
    </row>
    <row r="325" spans="2:10" x14ac:dyDescent="0.15">
      <c r="B325"/>
      <c r="C325"/>
      <c r="D325"/>
      <c r="E325"/>
      <c r="F325" s="7"/>
      <c r="G325" s="7"/>
      <c r="H325" s="7"/>
      <c r="I325" s="7"/>
      <c r="J325" s="7"/>
    </row>
    <row r="326" spans="2:10" x14ac:dyDescent="0.15">
      <c r="B326"/>
      <c r="C326"/>
      <c r="D326"/>
      <c r="E326"/>
      <c r="F326" s="7"/>
      <c r="G326" s="7"/>
      <c r="H326" s="7"/>
      <c r="I326" s="7"/>
      <c r="J326" s="7"/>
    </row>
    <row r="327" spans="2:10" x14ac:dyDescent="0.15">
      <c r="B327"/>
      <c r="C327"/>
      <c r="D327"/>
      <c r="E327"/>
      <c r="F327" s="7"/>
      <c r="G327" s="7"/>
      <c r="H327" s="7"/>
      <c r="I327" s="7"/>
      <c r="J327" s="7"/>
    </row>
    <row r="328" spans="2:10" x14ac:dyDescent="0.15">
      <c r="B328"/>
      <c r="C328"/>
      <c r="D328"/>
      <c r="E328"/>
      <c r="F328" s="7"/>
      <c r="G328" s="7"/>
      <c r="H328" s="7"/>
      <c r="I328" s="7"/>
      <c r="J328" s="7"/>
    </row>
    <row r="329" spans="2:10" x14ac:dyDescent="0.15">
      <c r="B329"/>
      <c r="C329"/>
      <c r="D329"/>
      <c r="E329"/>
      <c r="F329" s="7"/>
      <c r="G329" s="7"/>
      <c r="H329" s="7"/>
      <c r="I329" s="7"/>
      <c r="J329" s="7"/>
    </row>
    <row r="330" spans="2:10" x14ac:dyDescent="0.15">
      <c r="B330"/>
      <c r="C330"/>
      <c r="D330"/>
      <c r="E330"/>
      <c r="F330" s="7"/>
      <c r="G330" s="7"/>
      <c r="H330" s="7"/>
      <c r="I330" s="7"/>
      <c r="J330" s="7"/>
    </row>
    <row r="331" spans="2:10" x14ac:dyDescent="0.15">
      <c r="B331"/>
      <c r="C331"/>
      <c r="D331"/>
      <c r="E331"/>
      <c r="F331" s="7"/>
      <c r="G331" s="7"/>
      <c r="H331" s="7"/>
      <c r="I331" s="7"/>
      <c r="J331" s="7"/>
    </row>
    <row r="332" spans="2:10" x14ac:dyDescent="0.15">
      <c r="B332"/>
      <c r="C332"/>
      <c r="D332"/>
      <c r="E332"/>
      <c r="F332" s="7"/>
      <c r="G332" s="7"/>
      <c r="H332" s="7"/>
      <c r="I332" s="7"/>
      <c r="J332" s="7"/>
    </row>
    <row r="333" spans="2:10" x14ac:dyDescent="0.15">
      <c r="B333"/>
      <c r="C333"/>
      <c r="D333"/>
      <c r="E333"/>
      <c r="F333" s="7"/>
      <c r="G333" s="7"/>
      <c r="H333" s="7"/>
      <c r="I333" s="7"/>
      <c r="J333" s="7"/>
    </row>
    <row r="334" spans="2:10" x14ac:dyDescent="0.15">
      <c r="B334"/>
      <c r="C334"/>
      <c r="D334"/>
      <c r="E334"/>
      <c r="F334" s="7"/>
      <c r="G334" s="7"/>
      <c r="H334" s="7"/>
      <c r="I334" s="7"/>
      <c r="J334" s="7"/>
    </row>
    <row r="335" spans="2:10" x14ac:dyDescent="0.15">
      <c r="B335"/>
      <c r="C335"/>
      <c r="D335"/>
      <c r="E335"/>
      <c r="F335" s="7"/>
      <c r="G335" s="7"/>
      <c r="H335" s="7"/>
      <c r="I335" s="7"/>
      <c r="J335" s="7"/>
    </row>
    <row r="336" spans="2:10" x14ac:dyDescent="0.15">
      <c r="B336"/>
      <c r="C336"/>
      <c r="D336"/>
      <c r="E336"/>
      <c r="F336" s="7"/>
      <c r="G336" s="7"/>
      <c r="H336" s="7"/>
      <c r="I336" s="7"/>
      <c r="J336" s="7"/>
    </row>
    <row r="337" spans="2:10" x14ac:dyDescent="0.15">
      <c r="B337"/>
      <c r="C337"/>
      <c r="D337"/>
      <c r="E337"/>
      <c r="F337" s="7"/>
      <c r="G337" s="7"/>
      <c r="H337" s="7"/>
      <c r="I337" s="7"/>
      <c r="J337" s="7"/>
    </row>
    <row r="338" spans="2:10" x14ac:dyDescent="0.15">
      <c r="B338"/>
      <c r="C338"/>
      <c r="D338"/>
      <c r="E338"/>
      <c r="F338" s="7"/>
      <c r="G338" s="7"/>
      <c r="H338" s="7"/>
      <c r="I338" s="7"/>
      <c r="J338" s="7"/>
    </row>
    <row r="339" spans="2:10" x14ac:dyDescent="0.15">
      <c r="B339"/>
      <c r="C339"/>
      <c r="D339"/>
      <c r="E339"/>
      <c r="F339" s="7"/>
      <c r="G339" s="7"/>
      <c r="H339" s="7"/>
      <c r="I339" s="7"/>
      <c r="J339" s="7"/>
    </row>
    <row r="340" spans="2:10" x14ac:dyDescent="0.15">
      <c r="B340"/>
      <c r="C340"/>
      <c r="D340"/>
      <c r="E340"/>
      <c r="F340" s="7"/>
      <c r="G340" s="7"/>
      <c r="H340" s="7"/>
      <c r="I340" s="7"/>
      <c r="J340" s="7"/>
    </row>
    <row r="341" spans="2:10" x14ac:dyDescent="0.15">
      <c r="B341"/>
      <c r="C341"/>
      <c r="D341"/>
      <c r="E341"/>
      <c r="F341" s="7"/>
      <c r="G341" s="7"/>
      <c r="H341" s="7"/>
      <c r="I341" s="7"/>
      <c r="J341" s="7"/>
    </row>
    <row r="342" spans="2:10" x14ac:dyDescent="0.15">
      <c r="B342"/>
      <c r="C342"/>
      <c r="D342"/>
      <c r="E342"/>
      <c r="F342" s="7"/>
      <c r="G342" s="7"/>
      <c r="H342" s="7"/>
      <c r="I342" s="7"/>
      <c r="J342" s="7"/>
    </row>
    <row r="343" spans="2:10" x14ac:dyDescent="0.15">
      <c r="B343"/>
      <c r="C343"/>
      <c r="D343"/>
      <c r="E343"/>
      <c r="F343" s="7"/>
      <c r="G343" s="7"/>
      <c r="H343" s="7"/>
      <c r="I343" s="7"/>
      <c r="J343" s="7"/>
    </row>
    <row r="344" spans="2:10" x14ac:dyDescent="0.15">
      <c r="B344"/>
      <c r="C344"/>
      <c r="D344"/>
      <c r="E344"/>
      <c r="F344" s="7"/>
      <c r="G344" s="7"/>
      <c r="H344" s="7"/>
      <c r="I344" s="7"/>
      <c r="J344" s="7"/>
    </row>
    <row r="345" spans="2:10" x14ac:dyDescent="0.15">
      <c r="B345"/>
      <c r="C345"/>
      <c r="D345"/>
      <c r="E345"/>
      <c r="F345" s="7"/>
      <c r="G345" s="7"/>
      <c r="H345" s="7"/>
      <c r="I345" s="7"/>
      <c r="J345" s="7"/>
    </row>
    <row r="346" spans="2:10" x14ac:dyDescent="0.15">
      <c r="B346"/>
      <c r="C346"/>
      <c r="D346"/>
      <c r="E346"/>
      <c r="F346" s="7"/>
      <c r="G346" s="7"/>
      <c r="H346" s="7"/>
      <c r="I346" s="7"/>
      <c r="J346" s="7"/>
    </row>
    <row r="347" spans="2:10" x14ac:dyDescent="0.15">
      <c r="B347"/>
      <c r="C347"/>
      <c r="D347"/>
      <c r="E347"/>
      <c r="F347" s="7"/>
      <c r="G347" s="7"/>
      <c r="H347" s="7"/>
      <c r="I347" s="7"/>
      <c r="J347" s="7"/>
    </row>
    <row r="348" spans="2:10" x14ac:dyDescent="0.15">
      <c r="B348"/>
      <c r="C348"/>
      <c r="D348"/>
      <c r="E348"/>
      <c r="F348" s="7"/>
      <c r="G348" s="7"/>
      <c r="H348" s="7"/>
      <c r="I348" s="7"/>
      <c r="J348" s="7"/>
    </row>
    <row r="349" spans="2:10" x14ac:dyDescent="0.15">
      <c r="B349"/>
      <c r="C349"/>
      <c r="D349"/>
      <c r="E349"/>
      <c r="F349" s="7"/>
      <c r="G349" s="7"/>
      <c r="H349" s="7"/>
      <c r="I349" s="7"/>
      <c r="J349" s="7"/>
    </row>
    <row r="350" spans="2:10" x14ac:dyDescent="0.15">
      <c r="B350"/>
      <c r="C350"/>
      <c r="D350"/>
      <c r="E350"/>
      <c r="F350" s="7"/>
      <c r="G350" s="7"/>
      <c r="H350" s="7"/>
      <c r="I350" s="7"/>
      <c r="J350" s="7"/>
    </row>
    <row r="351" spans="2:10" x14ac:dyDescent="0.15">
      <c r="B351"/>
      <c r="C351"/>
      <c r="D351"/>
      <c r="E351"/>
      <c r="F351" s="7"/>
      <c r="G351" s="7"/>
      <c r="H351" s="7"/>
      <c r="I351" s="7"/>
      <c r="J351" s="7"/>
    </row>
    <row r="352" spans="2:10" x14ac:dyDescent="0.15">
      <c r="B352"/>
      <c r="C352"/>
      <c r="D352"/>
      <c r="E352"/>
      <c r="F352" s="7"/>
      <c r="G352" s="7"/>
      <c r="H352" s="7"/>
      <c r="I352" s="7"/>
      <c r="J352" s="7"/>
    </row>
    <row r="353" spans="2:10" x14ac:dyDescent="0.15">
      <c r="B353"/>
      <c r="C353"/>
      <c r="D353"/>
      <c r="E353"/>
      <c r="F353" s="7"/>
      <c r="G353" s="7"/>
      <c r="H353" s="7"/>
      <c r="I353" s="7"/>
      <c r="J353" s="7"/>
    </row>
    <row r="354" spans="2:10" x14ac:dyDescent="0.15">
      <c r="B354"/>
      <c r="C354"/>
      <c r="D354"/>
      <c r="E354"/>
      <c r="F354" s="7"/>
      <c r="G354" s="7"/>
      <c r="H354" s="7"/>
      <c r="I354" s="7"/>
      <c r="J354" s="7"/>
    </row>
    <row r="355" spans="2:10" x14ac:dyDescent="0.15">
      <c r="B355"/>
      <c r="C355"/>
      <c r="D355"/>
      <c r="E355"/>
      <c r="F355" s="7"/>
      <c r="G355" s="7"/>
      <c r="H355" s="7"/>
      <c r="I355" s="7"/>
      <c r="J355" s="7"/>
    </row>
    <row r="356" spans="2:10" x14ac:dyDescent="0.15">
      <c r="B356"/>
      <c r="C356"/>
      <c r="D356"/>
      <c r="E356"/>
      <c r="F356" s="7"/>
      <c r="G356" s="7"/>
      <c r="H356" s="7"/>
      <c r="I356" s="7"/>
      <c r="J356" s="7"/>
    </row>
    <row r="357" spans="2:10" x14ac:dyDescent="0.15">
      <c r="B357"/>
      <c r="C357"/>
      <c r="D357"/>
      <c r="E357"/>
      <c r="F357" s="7"/>
      <c r="G357" s="7"/>
      <c r="H357" s="7"/>
      <c r="I357" s="7"/>
      <c r="J357" s="7"/>
    </row>
    <row r="358" spans="2:10" x14ac:dyDescent="0.15">
      <c r="B358"/>
      <c r="C358"/>
      <c r="D358"/>
      <c r="E358"/>
      <c r="F358" s="7"/>
      <c r="G358" s="7"/>
      <c r="H358" s="7"/>
      <c r="I358" s="7"/>
      <c r="J358" s="7"/>
    </row>
    <row r="359" spans="2:10" x14ac:dyDescent="0.15">
      <c r="B359"/>
      <c r="C359"/>
      <c r="D359"/>
      <c r="E359"/>
      <c r="F359" s="7"/>
      <c r="G359" s="7"/>
      <c r="H359" s="7"/>
      <c r="I359" s="7"/>
      <c r="J359" s="7"/>
    </row>
    <row r="360" spans="2:10" x14ac:dyDescent="0.15">
      <c r="B360"/>
      <c r="C360"/>
      <c r="D360"/>
      <c r="E360"/>
      <c r="F360" s="7"/>
      <c r="G360" s="7"/>
      <c r="H360" s="7"/>
      <c r="I360" s="7"/>
      <c r="J360" s="7"/>
    </row>
    <row r="361" spans="2:10" x14ac:dyDescent="0.15">
      <c r="B361"/>
      <c r="C361"/>
      <c r="D361"/>
      <c r="E361"/>
      <c r="F361" s="7"/>
      <c r="G361" s="7"/>
      <c r="H361" s="7"/>
      <c r="I361" s="7"/>
      <c r="J361" s="7"/>
    </row>
    <row r="362" spans="2:10" x14ac:dyDescent="0.15">
      <c r="B362"/>
      <c r="C362"/>
      <c r="D362"/>
      <c r="E362"/>
      <c r="F362" s="7"/>
      <c r="G362" s="7"/>
      <c r="H362" s="7"/>
      <c r="I362" s="7"/>
      <c r="J362" s="7"/>
    </row>
    <row r="363" spans="2:10" x14ac:dyDescent="0.15">
      <c r="B363"/>
      <c r="C363"/>
      <c r="D363"/>
      <c r="E363"/>
      <c r="F363" s="7"/>
      <c r="G363" s="7"/>
      <c r="H363" s="7"/>
      <c r="I363" s="7"/>
      <c r="J363" s="7"/>
    </row>
    <row r="364" spans="2:10" x14ac:dyDescent="0.15">
      <c r="B364"/>
      <c r="C364"/>
      <c r="D364"/>
      <c r="E364"/>
      <c r="F364" s="7"/>
      <c r="G364" s="7"/>
      <c r="H364" s="7"/>
      <c r="I364" s="7"/>
      <c r="J364" s="7"/>
    </row>
    <row r="365" spans="2:10" x14ac:dyDescent="0.15">
      <c r="B365"/>
      <c r="C365"/>
      <c r="D365"/>
      <c r="E365"/>
      <c r="F365" s="7"/>
      <c r="G365" s="7"/>
      <c r="H365" s="7"/>
      <c r="I365" s="7"/>
      <c r="J365" s="7"/>
    </row>
    <row r="366" spans="2:10" x14ac:dyDescent="0.15">
      <c r="B366"/>
      <c r="C366"/>
      <c r="D366"/>
      <c r="E366"/>
      <c r="F366" s="7"/>
      <c r="G366" s="7"/>
      <c r="H366" s="7"/>
      <c r="I366" s="7"/>
      <c r="J366" s="7"/>
    </row>
    <row r="367" spans="2:10" x14ac:dyDescent="0.15">
      <c r="B367"/>
      <c r="C367"/>
      <c r="D367"/>
      <c r="E367"/>
      <c r="F367" s="7"/>
      <c r="G367" s="7"/>
      <c r="H367" s="7"/>
      <c r="I367" s="7"/>
      <c r="J367" s="7"/>
    </row>
    <row r="368" spans="2:10" x14ac:dyDescent="0.15">
      <c r="B368"/>
      <c r="C368"/>
      <c r="D368"/>
      <c r="E368"/>
      <c r="F368" s="7"/>
      <c r="G368" s="7"/>
      <c r="H368" s="7"/>
      <c r="I368" s="7"/>
      <c r="J368" s="7"/>
    </row>
    <row r="369" spans="2:10" x14ac:dyDescent="0.15">
      <c r="B369"/>
      <c r="C369"/>
      <c r="D369"/>
      <c r="E369"/>
      <c r="F369" s="7"/>
      <c r="G369" s="7"/>
      <c r="H369" s="7"/>
      <c r="I369" s="7"/>
      <c r="J369" s="7"/>
    </row>
    <row r="370" spans="2:10" x14ac:dyDescent="0.15">
      <c r="B370"/>
      <c r="C370"/>
      <c r="D370"/>
      <c r="E370"/>
      <c r="F370" s="7"/>
      <c r="G370" s="7"/>
      <c r="H370" s="7"/>
      <c r="I370" s="7"/>
      <c r="J370" s="7"/>
    </row>
    <row r="371" spans="2:10" x14ac:dyDescent="0.15">
      <c r="B371"/>
      <c r="C371"/>
      <c r="D371"/>
      <c r="E371"/>
      <c r="F371" s="7"/>
      <c r="G371" s="7"/>
      <c r="H371" s="7"/>
      <c r="I371" s="7"/>
      <c r="J371" s="7"/>
    </row>
    <row r="372" spans="2:10" x14ac:dyDescent="0.15">
      <c r="B372"/>
      <c r="C372"/>
      <c r="D372"/>
      <c r="E372"/>
      <c r="F372" s="7"/>
      <c r="G372" s="7"/>
      <c r="H372" s="7"/>
      <c r="I372" s="7"/>
      <c r="J372" s="7"/>
    </row>
    <row r="373" spans="2:10" x14ac:dyDescent="0.15">
      <c r="B373"/>
      <c r="C373"/>
      <c r="D373"/>
      <c r="E373"/>
      <c r="F373" s="7"/>
      <c r="G373" s="7"/>
      <c r="H373" s="7"/>
      <c r="I373" s="7"/>
      <c r="J373" s="7"/>
    </row>
    <row r="374" spans="2:10" x14ac:dyDescent="0.15">
      <c r="B374"/>
      <c r="C374"/>
      <c r="D374"/>
      <c r="E374"/>
      <c r="F374" s="7"/>
      <c r="G374" s="7"/>
      <c r="H374" s="7"/>
      <c r="I374" s="7"/>
      <c r="J374" s="7"/>
    </row>
    <row r="375" spans="2:10" x14ac:dyDescent="0.15">
      <c r="B375"/>
      <c r="C375"/>
      <c r="D375"/>
      <c r="E375"/>
      <c r="F375" s="7"/>
      <c r="G375" s="7"/>
      <c r="H375" s="7"/>
      <c r="I375" s="7"/>
      <c r="J375" s="7"/>
    </row>
    <row r="376" spans="2:10" x14ac:dyDescent="0.15">
      <c r="B376"/>
      <c r="C376"/>
      <c r="D376"/>
      <c r="E376"/>
      <c r="F376" s="7"/>
      <c r="G376" s="7"/>
      <c r="H376" s="7"/>
      <c r="I376" s="7"/>
      <c r="J376" s="7"/>
    </row>
    <row r="377" spans="2:10" x14ac:dyDescent="0.15">
      <c r="B377"/>
      <c r="C377"/>
      <c r="D377"/>
      <c r="E377"/>
      <c r="F377" s="7"/>
      <c r="G377" s="7"/>
      <c r="H377" s="7"/>
      <c r="I377" s="7"/>
      <c r="J377" s="7"/>
    </row>
    <row r="378" spans="2:10" x14ac:dyDescent="0.15">
      <c r="B378"/>
      <c r="C378"/>
      <c r="D378"/>
      <c r="E378"/>
      <c r="F378" s="7"/>
      <c r="G378" s="7"/>
      <c r="H378" s="7"/>
      <c r="I378" s="7"/>
      <c r="J378" s="7"/>
    </row>
    <row r="379" spans="2:10" x14ac:dyDescent="0.15">
      <c r="B379"/>
      <c r="C379"/>
      <c r="D379"/>
      <c r="E379"/>
      <c r="F379" s="7"/>
      <c r="G379" s="7"/>
      <c r="H379" s="7"/>
      <c r="I379" s="7"/>
      <c r="J379" s="7"/>
    </row>
    <row r="380" spans="2:10" x14ac:dyDescent="0.15">
      <c r="B380"/>
      <c r="C380"/>
      <c r="D380"/>
      <c r="E380"/>
      <c r="F380" s="7"/>
      <c r="G380" s="7"/>
      <c r="H380" s="7"/>
      <c r="I380" s="7"/>
      <c r="J380" s="7"/>
    </row>
    <row r="381" spans="2:10" x14ac:dyDescent="0.15">
      <c r="B381"/>
      <c r="C381"/>
      <c r="D381"/>
      <c r="E381"/>
      <c r="F381" s="7"/>
      <c r="G381" s="7"/>
      <c r="H381" s="7"/>
      <c r="I381" s="7"/>
      <c r="J381" s="7"/>
    </row>
    <row r="382" spans="2:10" x14ac:dyDescent="0.15">
      <c r="B382"/>
      <c r="C382"/>
      <c r="D382"/>
      <c r="E382"/>
      <c r="F382" s="7"/>
      <c r="G382" s="7"/>
      <c r="H382" s="7"/>
      <c r="I382" s="7"/>
      <c r="J382" s="7"/>
    </row>
    <row r="383" spans="2:10" x14ac:dyDescent="0.15">
      <c r="B383"/>
      <c r="C383"/>
      <c r="D383"/>
      <c r="E383"/>
      <c r="F383" s="7"/>
      <c r="G383" s="7"/>
      <c r="H383" s="7"/>
      <c r="I383" s="7"/>
      <c r="J383" s="7"/>
    </row>
    <row r="384" spans="2:10" x14ac:dyDescent="0.15">
      <c r="B384"/>
      <c r="C384"/>
      <c r="D384"/>
      <c r="E384"/>
      <c r="F384" s="7"/>
      <c r="G384" s="7"/>
      <c r="H384" s="7"/>
      <c r="I384" s="7"/>
      <c r="J384" s="7"/>
    </row>
    <row r="385" spans="2:10" x14ac:dyDescent="0.15">
      <c r="B385"/>
      <c r="C385"/>
      <c r="D385"/>
      <c r="E385"/>
      <c r="F385" s="7"/>
      <c r="G385" s="7"/>
      <c r="H385" s="7"/>
      <c r="I385" s="7"/>
      <c r="J385" s="7"/>
    </row>
    <row r="386" spans="2:10" x14ac:dyDescent="0.15">
      <c r="B386"/>
      <c r="C386"/>
      <c r="D386"/>
      <c r="E386"/>
      <c r="F386" s="7"/>
      <c r="G386" s="7"/>
      <c r="H386" s="7"/>
      <c r="I386" s="7"/>
      <c r="J386" s="7"/>
    </row>
    <row r="387" spans="2:10" x14ac:dyDescent="0.15">
      <c r="B387"/>
      <c r="C387"/>
      <c r="D387"/>
      <c r="E387"/>
      <c r="F387" s="7"/>
      <c r="G387" s="7"/>
      <c r="H387" s="7"/>
      <c r="I387" s="7"/>
      <c r="J387" s="7"/>
    </row>
    <row r="388" spans="2:10" x14ac:dyDescent="0.15">
      <c r="B388"/>
      <c r="C388"/>
      <c r="D388"/>
      <c r="E388"/>
      <c r="F388" s="7"/>
      <c r="G388" s="7"/>
      <c r="H388" s="7"/>
      <c r="I388" s="7"/>
      <c r="J388" s="7"/>
    </row>
    <row r="389" spans="2:10" x14ac:dyDescent="0.15">
      <c r="B389"/>
      <c r="C389"/>
      <c r="D389"/>
      <c r="E389"/>
      <c r="F389" s="7"/>
      <c r="G389" s="7"/>
      <c r="H389" s="7"/>
      <c r="I389" s="7"/>
      <c r="J389" s="7"/>
    </row>
    <row r="390" spans="2:10" x14ac:dyDescent="0.15">
      <c r="B390"/>
      <c r="C390"/>
      <c r="D390"/>
      <c r="E390"/>
      <c r="F390" s="7"/>
      <c r="G390" s="7"/>
      <c r="H390" s="7"/>
      <c r="I390" s="7"/>
      <c r="J390" s="7"/>
    </row>
    <row r="391" spans="2:10" x14ac:dyDescent="0.15">
      <c r="B391"/>
      <c r="C391"/>
      <c r="D391"/>
      <c r="E391"/>
      <c r="F391" s="7"/>
      <c r="G391" s="7"/>
      <c r="H391" s="7"/>
      <c r="I391" s="7"/>
      <c r="J391" s="7"/>
    </row>
    <row r="392" spans="2:10" x14ac:dyDescent="0.15">
      <c r="B392"/>
      <c r="C392"/>
      <c r="D392"/>
      <c r="E392"/>
      <c r="F392" s="7"/>
      <c r="G392" s="7"/>
      <c r="H392" s="7"/>
      <c r="I392" s="7"/>
      <c r="J392" s="7"/>
    </row>
    <row r="393" spans="2:10" x14ac:dyDescent="0.15">
      <c r="B393"/>
      <c r="C393"/>
      <c r="D393"/>
      <c r="E393"/>
      <c r="F393" s="7"/>
      <c r="G393" s="7"/>
      <c r="H393" s="7"/>
      <c r="I393" s="7"/>
      <c r="J393" s="7"/>
    </row>
    <row r="394" spans="2:10" x14ac:dyDescent="0.15">
      <c r="B394"/>
      <c r="C394"/>
      <c r="D394"/>
      <c r="E394"/>
      <c r="F394" s="7"/>
      <c r="G394" s="7"/>
      <c r="H394" s="7"/>
      <c r="I394" s="7"/>
      <c r="J394" s="7"/>
    </row>
    <row r="395" spans="2:10" x14ac:dyDescent="0.15">
      <c r="B395"/>
      <c r="C395"/>
      <c r="D395"/>
      <c r="E395"/>
      <c r="F395" s="7"/>
      <c r="G395" s="7"/>
      <c r="H395" s="7"/>
      <c r="I395" s="7"/>
      <c r="J395" s="7"/>
    </row>
    <row r="396" spans="2:10" x14ac:dyDescent="0.15">
      <c r="B396"/>
      <c r="C396"/>
      <c r="D396"/>
      <c r="E396"/>
      <c r="F396" s="7"/>
      <c r="G396" s="7"/>
      <c r="H396" s="7"/>
      <c r="I396" s="7"/>
      <c r="J396" s="7"/>
    </row>
    <row r="397" spans="2:10" x14ac:dyDescent="0.15">
      <c r="B397"/>
      <c r="C397"/>
      <c r="D397"/>
      <c r="E397"/>
      <c r="F397" s="7"/>
      <c r="G397" s="7"/>
      <c r="H397" s="7"/>
      <c r="I397" s="7"/>
      <c r="J397" s="7"/>
    </row>
    <row r="398" spans="2:10" x14ac:dyDescent="0.15">
      <c r="B398"/>
      <c r="C398"/>
      <c r="D398"/>
      <c r="E398"/>
      <c r="F398" s="7"/>
      <c r="G398" s="7"/>
      <c r="H398" s="7"/>
      <c r="I398" s="7"/>
      <c r="J398" s="7"/>
    </row>
    <row r="399" spans="2:10" x14ac:dyDescent="0.15">
      <c r="B399"/>
      <c r="C399"/>
      <c r="D399"/>
      <c r="E399"/>
      <c r="F399" s="7"/>
      <c r="G399" s="7"/>
      <c r="H399" s="7"/>
      <c r="I399" s="7"/>
      <c r="J399" s="7"/>
    </row>
    <row r="400" spans="2:10" x14ac:dyDescent="0.15">
      <c r="B400"/>
      <c r="C400"/>
      <c r="D400"/>
      <c r="E400"/>
      <c r="F400" s="7"/>
      <c r="G400" s="7"/>
      <c r="H400" s="7"/>
      <c r="I400" s="7"/>
      <c r="J400" s="7"/>
    </row>
    <row r="401" spans="2:10" x14ac:dyDescent="0.15">
      <c r="B401"/>
      <c r="C401"/>
      <c r="D401"/>
      <c r="E401"/>
      <c r="F401" s="7"/>
      <c r="G401" s="7"/>
      <c r="H401" s="7"/>
      <c r="I401" s="7"/>
      <c r="J401" s="7"/>
    </row>
    <row r="402" spans="2:10" x14ac:dyDescent="0.15">
      <c r="B402"/>
      <c r="C402"/>
      <c r="D402"/>
      <c r="E402"/>
      <c r="F402" s="7"/>
      <c r="G402" s="7"/>
      <c r="H402" s="7"/>
      <c r="I402" s="7"/>
      <c r="J402" s="7"/>
    </row>
    <row r="403" spans="2:10" x14ac:dyDescent="0.15">
      <c r="B403"/>
      <c r="C403"/>
      <c r="D403"/>
      <c r="E403"/>
      <c r="F403" s="7"/>
      <c r="G403" s="7"/>
      <c r="H403" s="7"/>
      <c r="I403" s="7"/>
      <c r="J403" s="7"/>
    </row>
    <row r="404" spans="2:10" x14ac:dyDescent="0.15">
      <c r="B404"/>
      <c r="C404"/>
      <c r="D404"/>
      <c r="E404"/>
      <c r="F404" s="7"/>
      <c r="G404" s="7"/>
      <c r="H404" s="7"/>
      <c r="I404" s="7"/>
      <c r="J404" s="7"/>
    </row>
    <row r="405" spans="2:10" x14ac:dyDescent="0.15">
      <c r="B405"/>
      <c r="C405"/>
      <c r="D405"/>
      <c r="E405"/>
      <c r="F405" s="7"/>
      <c r="G405" s="7"/>
      <c r="H405" s="7"/>
      <c r="I405" s="7"/>
      <c r="J405" s="7"/>
    </row>
    <row r="406" spans="2:10" x14ac:dyDescent="0.15">
      <c r="B406"/>
      <c r="C406"/>
      <c r="D406"/>
      <c r="E406"/>
      <c r="F406" s="7"/>
      <c r="G406" s="7"/>
      <c r="H406" s="7"/>
      <c r="I406" s="7"/>
      <c r="J406" s="7"/>
    </row>
    <row r="407" spans="2:10" x14ac:dyDescent="0.15">
      <c r="B407"/>
      <c r="C407"/>
      <c r="D407"/>
      <c r="E407"/>
      <c r="F407" s="7"/>
      <c r="G407" s="7"/>
      <c r="H407" s="7"/>
      <c r="I407" s="7"/>
      <c r="J407" s="7"/>
    </row>
    <row r="408" spans="2:10" x14ac:dyDescent="0.15">
      <c r="B408"/>
      <c r="C408"/>
      <c r="D408"/>
      <c r="E408"/>
      <c r="F408" s="7"/>
      <c r="G408" s="7"/>
      <c r="H408" s="7"/>
      <c r="I408" s="7"/>
      <c r="J408" s="7"/>
    </row>
    <row r="409" spans="2:10" x14ac:dyDescent="0.15">
      <c r="B409"/>
      <c r="C409"/>
      <c r="D409"/>
      <c r="E409"/>
      <c r="F409" s="7"/>
      <c r="G409" s="7"/>
      <c r="H409" s="7"/>
      <c r="I409" s="7"/>
      <c r="J409" s="7"/>
    </row>
    <row r="410" spans="2:10" x14ac:dyDescent="0.15">
      <c r="B410"/>
      <c r="C410"/>
      <c r="D410"/>
      <c r="E410"/>
      <c r="F410" s="7"/>
      <c r="G410" s="7"/>
      <c r="H410" s="7"/>
      <c r="I410" s="7"/>
      <c r="J410" s="7"/>
    </row>
    <row r="411" spans="2:10" x14ac:dyDescent="0.15">
      <c r="B411"/>
      <c r="C411"/>
      <c r="D411"/>
      <c r="E411"/>
      <c r="F411" s="7"/>
      <c r="G411" s="7"/>
      <c r="H411" s="7"/>
      <c r="I411" s="7"/>
      <c r="J411" s="7"/>
    </row>
    <row r="412" spans="2:10" x14ac:dyDescent="0.15">
      <c r="B412"/>
      <c r="C412"/>
      <c r="D412"/>
      <c r="E412"/>
      <c r="F412" s="7"/>
      <c r="G412" s="7"/>
      <c r="H412" s="7"/>
      <c r="I412" s="7"/>
      <c r="J412" s="7"/>
    </row>
    <row r="413" spans="2:10" x14ac:dyDescent="0.15">
      <c r="B413"/>
      <c r="C413"/>
      <c r="D413"/>
      <c r="E413"/>
      <c r="F413" s="7"/>
      <c r="G413" s="7"/>
      <c r="H413" s="7"/>
      <c r="I413" s="7"/>
      <c r="J413" s="7"/>
    </row>
    <row r="414" spans="2:10" x14ac:dyDescent="0.15">
      <c r="B414"/>
      <c r="C414"/>
      <c r="D414"/>
      <c r="E414"/>
      <c r="F414" s="7"/>
      <c r="G414" s="7"/>
      <c r="H414" s="7"/>
      <c r="I414" s="7"/>
      <c r="J414" s="7"/>
    </row>
    <row r="415" spans="2:10" x14ac:dyDescent="0.15">
      <c r="B415"/>
      <c r="C415"/>
      <c r="D415"/>
      <c r="E415"/>
      <c r="F415" s="7"/>
      <c r="G415" s="7"/>
      <c r="H415" s="7"/>
      <c r="I415" s="7"/>
      <c r="J415" s="7"/>
    </row>
    <row r="416" spans="2:10" x14ac:dyDescent="0.15">
      <c r="B416"/>
      <c r="C416"/>
      <c r="D416"/>
      <c r="E416"/>
      <c r="F416" s="7"/>
      <c r="G416" s="7"/>
      <c r="H416" s="7"/>
      <c r="I416" s="7"/>
      <c r="J416" s="7"/>
    </row>
    <row r="417" spans="2:10" x14ac:dyDescent="0.15">
      <c r="B417"/>
      <c r="C417"/>
      <c r="D417"/>
      <c r="E417"/>
      <c r="F417" s="7"/>
      <c r="G417" s="7"/>
      <c r="H417" s="7"/>
      <c r="I417" s="7"/>
      <c r="J417" s="7"/>
    </row>
    <row r="418" spans="2:10" x14ac:dyDescent="0.15">
      <c r="B418"/>
      <c r="C418"/>
      <c r="D418"/>
      <c r="E418"/>
      <c r="F418" s="7"/>
      <c r="G418" s="7"/>
      <c r="H418" s="7"/>
      <c r="I418" s="7"/>
      <c r="J418" s="7"/>
    </row>
    <row r="419" spans="2:10" x14ac:dyDescent="0.15">
      <c r="B419"/>
      <c r="C419"/>
      <c r="D419"/>
      <c r="E419"/>
      <c r="F419" s="7"/>
      <c r="G419" s="7"/>
      <c r="H419" s="7"/>
      <c r="I419" s="7"/>
      <c r="J419" s="7"/>
    </row>
    <row r="420" spans="2:10" x14ac:dyDescent="0.15">
      <c r="B420"/>
      <c r="C420"/>
      <c r="D420"/>
      <c r="E420"/>
      <c r="F420" s="7"/>
      <c r="G420" s="7"/>
      <c r="H420" s="7"/>
      <c r="I420" s="7"/>
      <c r="J420" s="7"/>
    </row>
    <row r="421" spans="2:10" x14ac:dyDescent="0.15">
      <c r="B421"/>
      <c r="C421"/>
      <c r="D421"/>
      <c r="E421"/>
      <c r="F421" s="7"/>
      <c r="G421" s="7"/>
      <c r="H421" s="7"/>
      <c r="I421" s="7"/>
      <c r="J421" s="7"/>
    </row>
    <row r="422" spans="2:10" x14ac:dyDescent="0.15">
      <c r="B422"/>
      <c r="C422"/>
      <c r="D422"/>
      <c r="E422"/>
      <c r="F422" s="7"/>
      <c r="G422" s="7"/>
      <c r="H422" s="7"/>
      <c r="I422" s="7"/>
      <c r="J422" s="7"/>
    </row>
    <row r="423" spans="2:10" x14ac:dyDescent="0.15">
      <c r="B423"/>
      <c r="C423"/>
      <c r="D423"/>
      <c r="E423"/>
      <c r="F423" s="7"/>
      <c r="G423" s="7"/>
      <c r="H423" s="7"/>
      <c r="I423" s="7"/>
      <c r="J423" s="7"/>
    </row>
    <row r="424" spans="2:10" x14ac:dyDescent="0.15">
      <c r="B424"/>
      <c r="C424"/>
      <c r="D424"/>
      <c r="E424"/>
      <c r="F424" s="7"/>
      <c r="G424" s="7"/>
      <c r="H424" s="7"/>
      <c r="I424" s="7"/>
      <c r="J424" s="7"/>
    </row>
    <row r="425" spans="2:10" x14ac:dyDescent="0.15">
      <c r="B425"/>
      <c r="C425"/>
      <c r="D425"/>
      <c r="E425"/>
      <c r="F425" s="7"/>
      <c r="G425" s="7"/>
      <c r="H425" s="7"/>
      <c r="I425" s="7"/>
      <c r="J425" s="7"/>
    </row>
    <row r="426" spans="2:10" x14ac:dyDescent="0.15">
      <c r="B426"/>
      <c r="C426"/>
      <c r="D426"/>
      <c r="E426"/>
      <c r="F426" s="7"/>
      <c r="G426" s="7"/>
      <c r="H426" s="7"/>
      <c r="I426" s="7"/>
      <c r="J426" s="7"/>
    </row>
    <row r="427" spans="2:10" x14ac:dyDescent="0.15">
      <c r="B427"/>
      <c r="C427"/>
      <c r="D427"/>
      <c r="E427"/>
      <c r="F427" s="7"/>
      <c r="G427" s="7"/>
      <c r="H427" s="7"/>
      <c r="I427" s="7"/>
      <c r="J427" s="7"/>
    </row>
    <row r="428" spans="2:10" x14ac:dyDescent="0.15">
      <c r="B428"/>
      <c r="C428"/>
      <c r="D428"/>
      <c r="E428"/>
      <c r="F428" s="7"/>
      <c r="G428" s="7"/>
      <c r="H428" s="7"/>
      <c r="I428" s="7"/>
      <c r="J428" s="7"/>
    </row>
    <row r="429" spans="2:10" x14ac:dyDescent="0.15">
      <c r="B429"/>
      <c r="C429"/>
      <c r="D429"/>
      <c r="E429"/>
      <c r="F429" s="7"/>
      <c r="G429" s="7"/>
      <c r="H429" s="7"/>
      <c r="I429" s="7"/>
      <c r="J429" s="7"/>
    </row>
    <row r="430" spans="2:10" x14ac:dyDescent="0.15">
      <c r="B430"/>
      <c r="C430"/>
      <c r="D430"/>
      <c r="E430"/>
      <c r="F430" s="7"/>
      <c r="G430" s="7"/>
      <c r="H430" s="7"/>
      <c r="I430" s="7"/>
      <c r="J430" s="7"/>
    </row>
    <row r="431" spans="2:10" x14ac:dyDescent="0.15">
      <c r="B431"/>
      <c r="C431"/>
      <c r="D431"/>
      <c r="E431"/>
      <c r="F431" s="7"/>
      <c r="G431" s="7"/>
      <c r="H431" s="7"/>
      <c r="I431" s="7"/>
      <c r="J431" s="7"/>
    </row>
    <row r="432" spans="2:10" x14ac:dyDescent="0.15">
      <c r="B432"/>
      <c r="C432"/>
      <c r="D432"/>
      <c r="E432"/>
      <c r="F432" s="7"/>
      <c r="G432" s="7"/>
      <c r="H432" s="7"/>
      <c r="I432" s="7"/>
      <c r="J432" s="7"/>
    </row>
    <row r="433" spans="2:10" x14ac:dyDescent="0.15">
      <c r="B433"/>
      <c r="C433"/>
      <c r="D433"/>
      <c r="E433"/>
      <c r="F433" s="7"/>
      <c r="G433" s="7"/>
      <c r="H433" s="7"/>
      <c r="I433" s="7"/>
      <c r="J433" s="7"/>
    </row>
    <row r="434" spans="2:10" x14ac:dyDescent="0.15">
      <c r="B434"/>
      <c r="C434"/>
      <c r="D434"/>
      <c r="E434"/>
      <c r="F434" s="7"/>
      <c r="G434" s="7"/>
      <c r="H434" s="7"/>
      <c r="I434" s="7"/>
      <c r="J434" s="7"/>
    </row>
    <row r="435" spans="2:10" x14ac:dyDescent="0.15">
      <c r="B435"/>
      <c r="C435"/>
      <c r="D435"/>
      <c r="E435"/>
      <c r="F435" s="7"/>
      <c r="G435" s="7"/>
      <c r="H435" s="7"/>
      <c r="I435" s="7"/>
      <c r="J435" s="7"/>
    </row>
    <row r="436" spans="2:10" x14ac:dyDescent="0.15">
      <c r="B436"/>
      <c r="C436"/>
      <c r="D436"/>
      <c r="E436"/>
      <c r="F436" s="7"/>
      <c r="G436" s="7"/>
      <c r="H436" s="7"/>
      <c r="I436" s="7"/>
      <c r="J436" s="7"/>
    </row>
    <row r="437" spans="2:10" x14ac:dyDescent="0.15">
      <c r="B437"/>
      <c r="C437"/>
      <c r="D437"/>
      <c r="E437"/>
      <c r="F437" s="7"/>
      <c r="G437" s="7"/>
      <c r="H437" s="7"/>
      <c r="I437" s="7"/>
      <c r="J437" s="7"/>
    </row>
    <row r="438" spans="2:10" x14ac:dyDescent="0.15">
      <c r="B438"/>
      <c r="C438"/>
      <c r="D438"/>
      <c r="E438"/>
      <c r="F438" s="7"/>
      <c r="G438" s="7"/>
      <c r="H438" s="7"/>
      <c r="I438" s="7"/>
      <c r="J438" s="7"/>
    </row>
    <row r="439" spans="2:10" x14ac:dyDescent="0.15">
      <c r="B439"/>
      <c r="C439"/>
      <c r="D439"/>
      <c r="E439"/>
      <c r="F439" s="7"/>
      <c r="G439" s="7"/>
      <c r="H439" s="7"/>
      <c r="I439" s="7"/>
      <c r="J439" s="7"/>
    </row>
    <row r="440" spans="2:10" x14ac:dyDescent="0.15">
      <c r="B440"/>
      <c r="C440"/>
      <c r="D440"/>
      <c r="E440"/>
      <c r="F440" s="7"/>
      <c r="G440" s="7"/>
      <c r="H440" s="7"/>
      <c r="I440" s="7"/>
      <c r="J440" s="7"/>
    </row>
    <row r="441" spans="2:10" x14ac:dyDescent="0.15">
      <c r="B441"/>
      <c r="C441"/>
      <c r="D441"/>
      <c r="E441"/>
      <c r="F441" s="7"/>
      <c r="G441" s="7"/>
      <c r="H441" s="7"/>
      <c r="I441" s="7"/>
      <c r="J441" s="7"/>
    </row>
    <row r="442" spans="2:10" x14ac:dyDescent="0.15">
      <c r="B442"/>
      <c r="C442"/>
      <c r="D442"/>
      <c r="E442"/>
      <c r="F442" s="7"/>
      <c r="G442" s="7"/>
      <c r="H442" s="7"/>
      <c r="I442" s="7"/>
      <c r="J442" s="7"/>
    </row>
    <row r="443" spans="2:10" x14ac:dyDescent="0.15">
      <c r="B443"/>
      <c r="C443"/>
      <c r="D443"/>
      <c r="E443"/>
      <c r="F443" s="7"/>
      <c r="G443" s="7"/>
      <c r="H443" s="7"/>
      <c r="I443" s="7"/>
      <c r="J443" s="7"/>
    </row>
    <row r="444" spans="2:10" x14ac:dyDescent="0.15">
      <c r="B444"/>
      <c r="C444"/>
      <c r="D444"/>
      <c r="E444"/>
      <c r="F444" s="7"/>
      <c r="G444" s="7"/>
      <c r="H444" s="7"/>
      <c r="I444" s="7"/>
      <c r="J444" s="7"/>
    </row>
    <row r="445" spans="2:10" x14ac:dyDescent="0.15">
      <c r="B445"/>
      <c r="C445"/>
      <c r="D445"/>
      <c r="E445"/>
      <c r="F445" s="7"/>
      <c r="G445" s="7"/>
      <c r="H445" s="7"/>
      <c r="I445" s="7"/>
      <c r="J445" s="7"/>
    </row>
    <row r="446" spans="2:10" x14ac:dyDescent="0.15">
      <c r="B446"/>
      <c r="C446"/>
      <c r="D446"/>
      <c r="E446"/>
      <c r="F446" s="7"/>
      <c r="G446" s="7"/>
      <c r="H446" s="7"/>
      <c r="I446" s="7"/>
      <c r="J446" s="7"/>
    </row>
    <row r="447" spans="2:10" x14ac:dyDescent="0.15">
      <c r="B447"/>
      <c r="C447"/>
      <c r="D447"/>
      <c r="E447"/>
      <c r="F447" s="7"/>
      <c r="G447" s="7"/>
      <c r="H447" s="7"/>
      <c r="I447" s="7"/>
      <c r="J447" s="7"/>
    </row>
    <row r="448" spans="2:10" x14ac:dyDescent="0.15">
      <c r="B448"/>
      <c r="C448"/>
      <c r="D448"/>
      <c r="E448"/>
      <c r="F448" s="7"/>
      <c r="G448" s="7"/>
      <c r="H448" s="7"/>
      <c r="I448" s="7"/>
      <c r="J448" s="7"/>
    </row>
    <row r="449" spans="2:10" x14ac:dyDescent="0.15">
      <c r="B449"/>
      <c r="C449"/>
      <c r="D449"/>
      <c r="E449"/>
      <c r="F449" s="7"/>
      <c r="G449" s="7"/>
      <c r="H449" s="7"/>
      <c r="I449" s="7"/>
      <c r="J449" s="7"/>
    </row>
    <row r="450" spans="2:10" x14ac:dyDescent="0.15">
      <c r="B450"/>
      <c r="C450"/>
      <c r="D450"/>
      <c r="E450"/>
      <c r="F450" s="7"/>
      <c r="G450" s="7"/>
      <c r="H450" s="7"/>
      <c r="I450" s="7"/>
      <c r="J450" s="7"/>
    </row>
    <row r="451" spans="2:10" x14ac:dyDescent="0.15">
      <c r="B451"/>
      <c r="C451"/>
      <c r="D451"/>
      <c r="E451"/>
      <c r="F451" s="7"/>
      <c r="G451" s="7"/>
      <c r="H451" s="7"/>
      <c r="I451" s="7"/>
      <c r="J451" s="7"/>
    </row>
    <row r="452" spans="2:10" x14ac:dyDescent="0.15">
      <c r="B452"/>
      <c r="C452"/>
      <c r="D452"/>
      <c r="E452"/>
      <c r="F452" s="7"/>
      <c r="G452" s="7"/>
      <c r="H452" s="7"/>
      <c r="I452" s="7"/>
      <c r="J452" s="7"/>
    </row>
    <row r="453" spans="2:10" x14ac:dyDescent="0.15">
      <c r="B453"/>
      <c r="C453"/>
      <c r="D453"/>
      <c r="E453"/>
      <c r="F453" s="7"/>
      <c r="G453" s="7"/>
      <c r="H453" s="7"/>
      <c r="I453" s="7"/>
      <c r="J453" s="7"/>
    </row>
    <row r="454" spans="2:10" x14ac:dyDescent="0.15">
      <c r="B454"/>
      <c r="C454"/>
      <c r="D454"/>
      <c r="E454"/>
      <c r="F454" s="7"/>
      <c r="G454" s="7"/>
      <c r="H454" s="7"/>
      <c r="I454" s="7"/>
      <c r="J454" s="7"/>
    </row>
    <row r="455" spans="2:10" x14ac:dyDescent="0.15">
      <c r="B455"/>
      <c r="C455"/>
      <c r="D455"/>
      <c r="E455"/>
      <c r="F455" s="7"/>
      <c r="G455" s="7"/>
      <c r="H455" s="7"/>
      <c r="I455" s="7"/>
      <c r="J455" s="7"/>
    </row>
    <row r="456" spans="2:10" x14ac:dyDescent="0.15">
      <c r="B456"/>
      <c r="C456"/>
      <c r="D456"/>
      <c r="E456"/>
      <c r="F456" s="7"/>
      <c r="G456" s="7"/>
      <c r="H456" s="7"/>
      <c r="I456" s="7"/>
      <c r="J456" s="7"/>
    </row>
    <row r="457" spans="2:10" x14ac:dyDescent="0.15">
      <c r="B457"/>
      <c r="C457"/>
      <c r="D457"/>
      <c r="E457"/>
      <c r="F457" s="7"/>
      <c r="G457" s="7"/>
      <c r="H457" s="7"/>
      <c r="I457" s="7"/>
      <c r="J457" s="7"/>
    </row>
    <row r="458" spans="2:10" x14ac:dyDescent="0.15">
      <c r="B458"/>
      <c r="C458"/>
      <c r="D458"/>
      <c r="E458"/>
      <c r="F458" s="7"/>
      <c r="G458" s="7"/>
      <c r="H458" s="7"/>
      <c r="I458" s="7"/>
      <c r="J458" s="7"/>
    </row>
    <row r="459" spans="2:10" x14ac:dyDescent="0.15">
      <c r="B459"/>
      <c r="C459"/>
      <c r="D459"/>
      <c r="E459"/>
      <c r="F459" s="7"/>
      <c r="G459" s="7"/>
      <c r="H459" s="7"/>
      <c r="I459" s="7"/>
      <c r="J459" s="7"/>
    </row>
    <row r="460" spans="2:10" x14ac:dyDescent="0.15">
      <c r="B460"/>
      <c r="C460"/>
      <c r="D460"/>
      <c r="E460"/>
      <c r="F460" s="7"/>
      <c r="G460" s="7"/>
      <c r="H460" s="7"/>
      <c r="I460" s="7"/>
      <c r="J460" s="7"/>
    </row>
    <row r="461" spans="2:10" x14ac:dyDescent="0.15">
      <c r="B461"/>
      <c r="C461"/>
      <c r="D461"/>
      <c r="E461"/>
      <c r="F461" s="7"/>
      <c r="G461" s="7"/>
      <c r="H461" s="7"/>
      <c r="I461" s="7"/>
      <c r="J461" s="7"/>
    </row>
    <row r="462" spans="2:10" x14ac:dyDescent="0.15">
      <c r="B462"/>
      <c r="C462"/>
      <c r="D462"/>
      <c r="E462"/>
      <c r="F462" s="7"/>
      <c r="G462" s="7"/>
      <c r="H462" s="7"/>
      <c r="I462" s="7"/>
      <c r="J462" s="7"/>
    </row>
    <row r="463" spans="2:10" x14ac:dyDescent="0.15">
      <c r="B463"/>
      <c r="C463"/>
      <c r="D463"/>
      <c r="E463"/>
      <c r="F463" s="7"/>
      <c r="G463" s="7"/>
      <c r="H463" s="7"/>
      <c r="I463" s="7"/>
      <c r="J463" s="7"/>
    </row>
    <row r="464" spans="2:10" x14ac:dyDescent="0.15">
      <c r="B464"/>
      <c r="C464"/>
      <c r="D464"/>
      <c r="E464"/>
      <c r="F464" s="7"/>
      <c r="G464" s="7"/>
      <c r="H464" s="7"/>
      <c r="I464" s="7"/>
      <c r="J464" s="7"/>
    </row>
    <row r="465" spans="2:10" x14ac:dyDescent="0.15">
      <c r="B465"/>
      <c r="C465"/>
      <c r="D465"/>
      <c r="E465"/>
      <c r="F465" s="7"/>
      <c r="G465" s="7"/>
      <c r="H465" s="7"/>
      <c r="I465" s="7"/>
      <c r="J465" s="7"/>
    </row>
    <row r="466" spans="2:10" x14ac:dyDescent="0.15">
      <c r="B466"/>
      <c r="C466"/>
      <c r="D466"/>
      <c r="E466"/>
      <c r="F466" s="7"/>
      <c r="G466" s="7"/>
      <c r="H466" s="7"/>
      <c r="I466" s="7"/>
      <c r="J466" s="7"/>
    </row>
    <row r="467" spans="2:10" x14ac:dyDescent="0.15">
      <c r="B467"/>
      <c r="C467"/>
      <c r="D467"/>
      <c r="E467"/>
      <c r="F467" s="7"/>
      <c r="G467" s="7"/>
      <c r="H467" s="7"/>
      <c r="I467" s="7"/>
      <c r="J467" s="7"/>
    </row>
    <row r="468" spans="2:10" x14ac:dyDescent="0.15">
      <c r="B468"/>
      <c r="C468"/>
      <c r="D468"/>
      <c r="E468"/>
      <c r="F468" s="7"/>
      <c r="G468" s="7"/>
      <c r="H468" s="7"/>
      <c r="I468" s="7"/>
      <c r="J468" s="7"/>
    </row>
    <row r="469" spans="2:10" x14ac:dyDescent="0.15">
      <c r="B469"/>
      <c r="C469"/>
      <c r="D469"/>
      <c r="E469"/>
      <c r="F469" s="7"/>
      <c r="G469" s="7"/>
      <c r="H469" s="7"/>
      <c r="I469" s="7"/>
      <c r="J469" s="7"/>
    </row>
    <row r="470" spans="2:10" x14ac:dyDescent="0.15">
      <c r="B470"/>
      <c r="C470"/>
      <c r="D470"/>
      <c r="E470"/>
      <c r="F470" s="7"/>
      <c r="G470" s="7"/>
      <c r="H470" s="7"/>
      <c r="I470" s="7"/>
      <c r="J470" s="7"/>
    </row>
    <row r="471" spans="2:10" x14ac:dyDescent="0.15">
      <c r="B471"/>
      <c r="C471"/>
      <c r="D471"/>
      <c r="E471"/>
      <c r="F471" s="7"/>
      <c r="G471" s="7"/>
      <c r="H471" s="7"/>
      <c r="I471" s="7"/>
      <c r="J471" s="7"/>
    </row>
    <row r="472" spans="2:10" x14ac:dyDescent="0.15">
      <c r="B472"/>
      <c r="C472"/>
      <c r="D472"/>
      <c r="E472"/>
      <c r="F472" s="7"/>
      <c r="G472" s="7"/>
      <c r="H472" s="7"/>
      <c r="I472" s="7"/>
      <c r="J472" s="7"/>
    </row>
    <row r="473" spans="2:10" x14ac:dyDescent="0.15">
      <c r="B473"/>
      <c r="C473"/>
      <c r="D473"/>
      <c r="E473"/>
      <c r="F473" s="7"/>
      <c r="G473" s="7"/>
      <c r="H473" s="7"/>
      <c r="I473" s="7"/>
      <c r="J473" s="7"/>
    </row>
    <row r="474" spans="2:10" x14ac:dyDescent="0.15">
      <c r="B474"/>
      <c r="C474"/>
      <c r="D474"/>
      <c r="E474"/>
      <c r="F474" s="7"/>
      <c r="G474" s="7"/>
      <c r="H474" s="7"/>
      <c r="I474" s="7"/>
      <c r="J474" s="7"/>
    </row>
    <row r="475" spans="2:10" x14ac:dyDescent="0.15">
      <c r="B475"/>
      <c r="C475"/>
      <c r="D475"/>
      <c r="E475"/>
      <c r="F475" s="7"/>
      <c r="G475" s="7"/>
      <c r="H475" s="7"/>
      <c r="I475" s="7"/>
      <c r="J475" s="7"/>
    </row>
    <row r="476" spans="2:10" x14ac:dyDescent="0.15">
      <c r="B476"/>
      <c r="C476"/>
      <c r="D476"/>
      <c r="E476"/>
      <c r="F476" s="7"/>
      <c r="G476" s="7"/>
      <c r="H476" s="7"/>
      <c r="I476" s="7"/>
      <c r="J476" s="7"/>
    </row>
    <row r="477" spans="2:10" x14ac:dyDescent="0.15">
      <c r="B477"/>
      <c r="C477"/>
      <c r="D477"/>
      <c r="E477"/>
      <c r="F477" s="7"/>
      <c r="G477" s="7"/>
      <c r="H477" s="7"/>
      <c r="I477" s="7"/>
      <c r="J477" s="7"/>
    </row>
    <row r="478" spans="2:10" x14ac:dyDescent="0.15">
      <c r="B478"/>
      <c r="C478"/>
      <c r="D478"/>
      <c r="E478"/>
      <c r="F478" s="7"/>
      <c r="G478" s="7"/>
      <c r="H478" s="7"/>
      <c r="I478" s="7"/>
      <c r="J478" s="7"/>
    </row>
    <row r="479" spans="2:10" x14ac:dyDescent="0.15">
      <c r="B479"/>
      <c r="C479"/>
      <c r="D479"/>
      <c r="E479"/>
      <c r="F479" s="7"/>
      <c r="G479" s="7"/>
      <c r="H479" s="7"/>
      <c r="I479" s="7"/>
      <c r="J479" s="7"/>
    </row>
    <row r="480" spans="2:10" x14ac:dyDescent="0.15">
      <c r="B480"/>
      <c r="C480"/>
      <c r="D480"/>
      <c r="E480"/>
      <c r="F480" s="7"/>
      <c r="G480" s="7"/>
      <c r="H480" s="7"/>
      <c r="I480" s="7"/>
      <c r="J480" s="7"/>
    </row>
    <row r="481" spans="2:10" x14ac:dyDescent="0.15">
      <c r="B481"/>
      <c r="C481"/>
      <c r="D481"/>
      <c r="E481"/>
      <c r="F481" s="7"/>
      <c r="G481" s="7"/>
      <c r="H481" s="7"/>
      <c r="I481" s="7"/>
      <c r="J481" s="7"/>
    </row>
    <row r="482" spans="2:10" x14ac:dyDescent="0.15">
      <c r="B482"/>
      <c r="C482"/>
      <c r="D482"/>
      <c r="E482"/>
      <c r="F482" s="7"/>
      <c r="G482" s="7"/>
      <c r="H482" s="7"/>
      <c r="I482" s="7"/>
      <c r="J482" s="7"/>
    </row>
    <row r="483" spans="2:10" x14ac:dyDescent="0.15">
      <c r="B483"/>
      <c r="C483"/>
      <c r="D483"/>
      <c r="E483"/>
      <c r="F483" s="7"/>
      <c r="G483" s="7"/>
      <c r="H483" s="7"/>
      <c r="I483" s="7"/>
      <c r="J483" s="7"/>
    </row>
    <row r="484" spans="2:10" x14ac:dyDescent="0.15">
      <c r="B484"/>
      <c r="C484"/>
      <c r="D484"/>
      <c r="E484"/>
      <c r="F484" s="7"/>
      <c r="G484" s="7"/>
      <c r="H484" s="7"/>
      <c r="I484" s="7"/>
      <c r="J484" s="7"/>
    </row>
    <row r="485" spans="2:10" x14ac:dyDescent="0.15">
      <c r="B485"/>
      <c r="C485"/>
      <c r="D485"/>
      <c r="E485"/>
      <c r="F485" s="7"/>
      <c r="G485" s="7"/>
      <c r="H485" s="7"/>
      <c r="I485" s="7"/>
      <c r="J485" s="7"/>
    </row>
    <row r="486" spans="2:10" x14ac:dyDescent="0.15">
      <c r="B486"/>
      <c r="C486"/>
      <c r="D486"/>
      <c r="E486"/>
      <c r="F486" s="7"/>
      <c r="G486" s="7"/>
      <c r="H486" s="7"/>
      <c r="I486" s="7"/>
      <c r="J486" s="7"/>
    </row>
    <row r="487" spans="2:10" x14ac:dyDescent="0.15">
      <c r="B487"/>
      <c r="C487"/>
      <c r="D487"/>
      <c r="E487"/>
      <c r="F487" s="7"/>
      <c r="G487" s="7"/>
      <c r="H487" s="7"/>
      <c r="I487" s="7"/>
      <c r="J487" s="7"/>
    </row>
    <row r="488" spans="2:10" x14ac:dyDescent="0.15">
      <c r="B488"/>
      <c r="C488"/>
      <c r="D488"/>
      <c r="E488"/>
      <c r="F488" s="7"/>
      <c r="G488" s="7"/>
      <c r="H488" s="7"/>
      <c r="I488" s="7"/>
      <c r="J488" s="7"/>
    </row>
    <row r="489" spans="2:10" x14ac:dyDescent="0.15">
      <c r="B489"/>
      <c r="C489"/>
      <c r="D489"/>
      <c r="E489"/>
      <c r="F489" s="7"/>
      <c r="G489" s="7"/>
      <c r="H489" s="7"/>
      <c r="I489" s="7"/>
      <c r="J489" s="7"/>
    </row>
    <row r="490" spans="2:10" x14ac:dyDescent="0.15">
      <c r="B490"/>
      <c r="C490"/>
      <c r="D490"/>
      <c r="E490"/>
      <c r="F490" s="7"/>
      <c r="G490" s="7"/>
      <c r="H490" s="7"/>
      <c r="I490" s="7"/>
      <c r="J490" s="7"/>
    </row>
    <row r="491" spans="2:10" x14ac:dyDescent="0.15">
      <c r="B491"/>
      <c r="C491"/>
      <c r="D491"/>
      <c r="E491"/>
      <c r="F491" s="7"/>
      <c r="G491" s="7"/>
      <c r="H491" s="7"/>
      <c r="I491" s="7"/>
      <c r="J491" s="7"/>
    </row>
    <row r="492" spans="2:10" x14ac:dyDescent="0.15">
      <c r="B492"/>
      <c r="C492"/>
      <c r="D492"/>
      <c r="E492"/>
      <c r="F492" s="7"/>
      <c r="G492" s="7"/>
      <c r="H492" s="7"/>
      <c r="I492" s="7"/>
      <c r="J492" s="7"/>
    </row>
    <row r="493" spans="2:10" x14ac:dyDescent="0.15">
      <c r="B493"/>
      <c r="C493"/>
      <c r="D493"/>
      <c r="E493"/>
      <c r="F493" s="7"/>
      <c r="G493" s="7"/>
      <c r="H493" s="7"/>
      <c r="I493" s="7"/>
      <c r="J493" s="7"/>
    </row>
    <row r="494" spans="2:10" x14ac:dyDescent="0.15">
      <c r="B494"/>
      <c r="C494"/>
      <c r="D494"/>
      <c r="E494"/>
      <c r="F494" s="7"/>
      <c r="G494" s="7"/>
      <c r="H494" s="7"/>
      <c r="I494" s="7"/>
      <c r="J494" s="7"/>
    </row>
    <row r="495" spans="2:10" x14ac:dyDescent="0.15">
      <c r="B495"/>
      <c r="C495"/>
      <c r="D495"/>
      <c r="E495"/>
      <c r="F495" s="7"/>
      <c r="G495" s="7"/>
      <c r="H495" s="7"/>
      <c r="I495" s="7"/>
      <c r="J495" s="7"/>
    </row>
    <row r="496" spans="2:10" x14ac:dyDescent="0.15">
      <c r="B496"/>
      <c r="C496"/>
      <c r="D496"/>
      <c r="E496"/>
      <c r="F496" s="7"/>
      <c r="G496" s="7"/>
      <c r="H496" s="7"/>
      <c r="I496" s="7"/>
      <c r="J496" s="7"/>
    </row>
    <row r="497" spans="2:10" x14ac:dyDescent="0.15">
      <c r="B497"/>
      <c r="C497"/>
      <c r="D497"/>
      <c r="E497"/>
      <c r="F497" s="7"/>
      <c r="G497" s="7"/>
      <c r="H497" s="7"/>
      <c r="I497" s="7"/>
      <c r="J497" s="7"/>
    </row>
    <row r="498" spans="2:10" x14ac:dyDescent="0.15">
      <c r="B498"/>
      <c r="C498"/>
      <c r="D498"/>
      <c r="E498"/>
      <c r="F498" s="7"/>
      <c r="G498" s="7"/>
      <c r="H498" s="7"/>
      <c r="I498" s="7"/>
      <c r="J498" s="7"/>
    </row>
    <row r="499" spans="2:10" x14ac:dyDescent="0.15">
      <c r="B499"/>
      <c r="C499"/>
      <c r="D499"/>
      <c r="E499"/>
      <c r="F499" s="7"/>
      <c r="G499" s="7"/>
      <c r="H499" s="7"/>
      <c r="I499" s="7"/>
      <c r="J499" s="7"/>
    </row>
    <row r="500" spans="2:10" x14ac:dyDescent="0.15">
      <c r="B500"/>
      <c r="C500"/>
      <c r="D500"/>
      <c r="E500"/>
      <c r="F500" s="7"/>
      <c r="G500" s="7"/>
      <c r="H500" s="7"/>
      <c r="I500" s="7"/>
      <c r="J500" s="7"/>
    </row>
    <row r="501" spans="2:10" x14ac:dyDescent="0.15">
      <c r="B501"/>
      <c r="C501"/>
      <c r="D501"/>
      <c r="E501"/>
      <c r="F501" s="7"/>
      <c r="G501" s="7"/>
      <c r="H501" s="7"/>
      <c r="I501" s="7"/>
      <c r="J501" s="7"/>
    </row>
    <row r="502" spans="2:10" x14ac:dyDescent="0.15">
      <c r="B502"/>
      <c r="C502"/>
      <c r="D502"/>
      <c r="E502"/>
      <c r="F502" s="7"/>
      <c r="G502" s="7"/>
      <c r="H502" s="7"/>
      <c r="I502" s="7"/>
      <c r="J502" s="7"/>
    </row>
    <row r="503" spans="2:10" x14ac:dyDescent="0.15">
      <c r="B503"/>
      <c r="C503"/>
      <c r="D503"/>
      <c r="E503"/>
      <c r="F503" s="7"/>
      <c r="G503" s="7"/>
      <c r="H503" s="7"/>
      <c r="I503" s="7"/>
      <c r="J503" s="7"/>
    </row>
    <row r="504" spans="2:10" x14ac:dyDescent="0.15">
      <c r="B504"/>
      <c r="C504"/>
      <c r="D504"/>
      <c r="E504"/>
      <c r="F504" s="7"/>
      <c r="G504" s="7"/>
      <c r="H504" s="7"/>
      <c r="I504" s="7"/>
      <c r="J504" s="7"/>
    </row>
    <row r="505" spans="2:10" x14ac:dyDescent="0.15">
      <c r="B505"/>
      <c r="C505"/>
      <c r="D505"/>
      <c r="E505"/>
      <c r="F505" s="7"/>
      <c r="G505" s="7"/>
      <c r="H505" s="7"/>
      <c r="I505" s="7"/>
      <c r="J505" s="7"/>
    </row>
    <row r="506" spans="2:10" x14ac:dyDescent="0.15">
      <c r="B506"/>
      <c r="C506"/>
      <c r="D506"/>
      <c r="E506"/>
      <c r="F506" s="7"/>
      <c r="G506" s="7"/>
      <c r="H506" s="7"/>
      <c r="I506" s="7"/>
      <c r="J506" s="7"/>
    </row>
    <row r="507" spans="2:10" x14ac:dyDescent="0.15">
      <c r="B507"/>
      <c r="C507"/>
      <c r="D507"/>
      <c r="E507"/>
      <c r="F507" s="7"/>
      <c r="G507" s="7"/>
      <c r="H507" s="7"/>
      <c r="I507" s="7"/>
      <c r="J507" s="7"/>
    </row>
    <row r="508" spans="2:10" x14ac:dyDescent="0.15">
      <c r="B508"/>
      <c r="C508"/>
      <c r="D508"/>
      <c r="E508"/>
      <c r="F508" s="7"/>
      <c r="G508" s="7"/>
      <c r="H508" s="7"/>
      <c r="I508" s="7"/>
      <c r="J508" s="7"/>
    </row>
    <row r="509" spans="2:10" x14ac:dyDescent="0.15">
      <c r="B509"/>
      <c r="C509"/>
      <c r="D509"/>
      <c r="E509"/>
      <c r="F509" s="7"/>
      <c r="G509" s="7"/>
      <c r="H509" s="7"/>
      <c r="I509" s="7"/>
      <c r="J509" s="7"/>
    </row>
    <row r="510" spans="2:10" x14ac:dyDescent="0.15">
      <c r="B510"/>
      <c r="C510"/>
      <c r="D510"/>
      <c r="E510"/>
      <c r="F510" s="7"/>
      <c r="G510" s="7"/>
      <c r="H510" s="7"/>
      <c r="I510" s="7"/>
      <c r="J510" s="7"/>
    </row>
    <row r="511" spans="2:10" x14ac:dyDescent="0.15">
      <c r="B511"/>
      <c r="C511"/>
      <c r="D511"/>
      <c r="E511"/>
      <c r="F511" s="7"/>
      <c r="G511" s="7"/>
      <c r="H511" s="7"/>
      <c r="I511" s="7"/>
      <c r="J511" s="7"/>
    </row>
    <row r="512" spans="2:10" x14ac:dyDescent="0.15">
      <c r="B512"/>
      <c r="C512"/>
      <c r="D512"/>
      <c r="E512"/>
      <c r="F512" s="7"/>
      <c r="G512" s="7"/>
      <c r="H512" s="7"/>
      <c r="I512" s="7"/>
      <c r="J512" s="7"/>
    </row>
    <row r="513" spans="2:10" x14ac:dyDescent="0.15">
      <c r="B513"/>
      <c r="C513"/>
      <c r="D513"/>
      <c r="E513"/>
      <c r="F513" s="7"/>
      <c r="G513" s="7"/>
      <c r="H513" s="7"/>
      <c r="I513" s="7"/>
      <c r="J513" s="7"/>
    </row>
    <row r="514" spans="2:10" x14ac:dyDescent="0.15">
      <c r="B514"/>
      <c r="C514"/>
      <c r="D514"/>
      <c r="E514"/>
      <c r="F514" s="7"/>
      <c r="G514" s="7"/>
      <c r="H514" s="7"/>
      <c r="I514" s="7"/>
      <c r="J514" s="7"/>
    </row>
    <row r="515" spans="2:10" x14ac:dyDescent="0.15">
      <c r="B515"/>
      <c r="C515"/>
      <c r="D515"/>
      <c r="E515"/>
      <c r="F515" s="7"/>
      <c r="G515" s="7"/>
      <c r="H515" s="7"/>
      <c r="I515" s="7"/>
      <c r="J515" s="7"/>
    </row>
    <row r="516" spans="2:10" x14ac:dyDescent="0.15">
      <c r="B516"/>
      <c r="C516"/>
      <c r="D516"/>
      <c r="E516"/>
      <c r="F516" s="7"/>
      <c r="G516" s="7"/>
      <c r="H516" s="7"/>
      <c r="I516" s="7"/>
      <c r="J516" s="7"/>
    </row>
    <row r="517" spans="2:10" x14ac:dyDescent="0.15">
      <c r="B517"/>
      <c r="C517"/>
      <c r="D517"/>
      <c r="E517"/>
      <c r="F517" s="7"/>
      <c r="G517" s="7"/>
      <c r="H517" s="7"/>
      <c r="I517" s="7"/>
      <c r="J517" s="7"/>
    </row>
    <row r="518" spans="2:10" x14ac:dyDescent="0.15">
      <c r="B518"/>
      <c r="C518"/>
      <c r="D518"/>
      <c r="E518"/>
      <c r="F518" s="7"/>
      <c r="G518" s="7"/>
      <c r="H518" s="7"/>
      <c r="I518" s="7"/>
      <c r="J518" s="7"/>
    </row>
    <row r="519" spans="2:10" x14ac:dyDescent="0.15">
      <c r="B519"/>
      <c r="C519"/>
      <c r="D519"/>
      <c r="E519"/>
      <c r="F519" s="7"/>
      <c r="G519" s="7"/>
      <c r="H519" s="7"/>
      <c r="I519" s="7"/>
      <c r="J519" s="7"/>
    </row>
    <row r="520" spans="2:10" x14ac:dyDescent="0.15">
      <c r="B520"/>
      <c r="C520"/>
      <c r="D520"/>
      <c r="E520"/>
      <c r="F520" s="7"/>
      <c r="G520" s="7"/>
      <c r="H520" s="7"/>
      <c r="I520" s="7"/>
      <c r="J520" s="7"/>
    </row>
    <row r="521" spans="2:10" x14ac:dyDescent="0.15">
      <c r="B521"/>
      <c r="C521"/>
      <c r="D521"/>
      <c r="E521"/>
      <c r="F521" s="7"/>
      <c r="G521" s="7"/>
      <c r="H521" s="7"/>
      <c r="I521" s="7"/>
      <c r="J521" s="7"/>
    </row>
    <row r="522" spans="2:10" x14ac:dyDescent="0.15">
      <c r="B522"/>
      <c r="C522"/>
      <c r="D522"/>
      <c r="E522"/>
      <c r="F522" s="7"/>
      <c r="G522" s="7"/>
      <c r="H522" s="7"/>
      <c r="I522" s="7"/>
      <c r="J522" s="7"/>
    </row>
    <row r="523" spans="2:10" x14ac:dyDescent="0.15">
      <c r="B523"/>
      <c r="C523"/>
      <c r="D523"/>
      <c r="E523"/>
      <c r="F523" s="7"/>
      <c r="G523" s="7"/>
      <c r="H523" s="7"/>
      <c r="I523" s="7"/>
      <c r="J523" s="7"/>
    </row>
    <row r="524" spans="2:10" x14ac:dyDescent="0.15">
      <c r="B524"/>
      <c r="C524"/>
      <c r="D524"/>
      <c r="E524"/>
      <c r="F524" s="7"/>
      <c r="G524" s="7"/>
      <c r="H524" s="7"/>
      <c r="I524" s="7"/>
      <c r="J524" s="7"/>
    </row>
    <row r="525" spans="2:10" x14ac:dyDescent="0.15">
      <c r="B525"/>
      <c r="C525"/>
      <c r="D525"/>
      <c r="E525"/>
      <c r="F525" s="7"/>
      <c r="G525" s="7"/>
      <c r="H525" s="7"/>
      <c r="I525" s="7"/>
      <c r="J525" s="7"/>
    </row>
    <row r="526" spans="2:10" x14ac:dyDescent="0.15">
      <c r="B526"/>
      <c r="C526"/>
      <c r="D526"/>
      <c r="E526"/>
      <c r="F526" s="7"/>
      <c r="G526" s="7"/>
      <c r="H526" s="7"/>
      <c r="I526" s="7"/>
      <c r="J526" s="7"/>
    </row>
    <row r="527" spans="2:10" x14ac:dyDescent="0.15">
      <c r="B527"/>
      <c r="C527"/>
      <c r="D527"/>
      <c r="E527"/>
      <c r="F527" s="7"/>
      <c r="G527" s="7"/>
      <c r="H527" s="7"/>
      <c r="I527" s="7"/>
      <c r="J527" s="7"/>
    </row>
    <row r="528" spans="2:10" x14ac:dyDescent="0.15">
      <c r="B528"/>
      <c r="C528"/>
      <c r="D528"/>
      <c r="E528"/>
      <c r="F528" s="7"/>
      <c r="G528" s="7"/>
      <c r="H528" s="7"/>
      <c r="I528" s="7"/>
      <c r="J528" s="7"/>
    </row>
    <row r="529" spans="2:10" x14ac:dyDescent="0.15">
      <c r="B529"/>
      <c r="C529"/>
      <c r="D529"/>
      <c r="E529"/>
      <c r="F529" s="7"/>
      <c r="G529" s="7"/>
      <c r="H529" s="7"/>
      <c r="I529" s="7"/>
      <c r="J529" s="7"/>
    </row>
    <row r="530" spans="2:10" x14ac:dyDescent="0.15">
      <c r="B530"/>
      <c r="C530"/>
      <c r="D530"/>
      <c r="E530"/>
      <c r="F530" s="7"/>
      <c r="G530" s="7"/>
      <c r="H530" s="7"/>
      <c r="I530" s="7"/>
      <c r="J530" s="7"/>
    </row>
    <row r="531" spans="2:10" x14ac:dyDescent="0.15">
      <c r="B531"/>
      <c r="C531"/>
      <c r="D531"/>
      <c r="E531"/>
      <c r="F531" s="7"/>
      <c r="G531" s="7"/>
      <c r="H531" s="7"/>
      <c r="I531" s="7"/>
      <c r="J531" s="7"/>
    </row>
    <row r="532" spans="2:10" x14ac:dyDescent="0.15">
      <c r="B532"/>
      <c r="C532"/>
      <c r="D532"/>
      <c r="E532"/>
      <c r="F532" s="7"/>
      <c r="G532" s="7"/>
      <c r="H532" s="7"/>
      <c r="I532" s="7"/>
      <c r="J532" s="7"/>
    </row>
    <row r="533" spans="2:10" x14ac:dyDescent="0.15">
      <c r="B533"/>
      <c r="C533"/>
      <c r="D533"/>
      <c r="E533"/>
      <c r="F533" s="7"/>
      <c r="G533" s="7"/>
      <c r="H533" s="7"/>
      <c r="I533" s="7"/>
      <c r="J533" s="7"/>
    </row>
    <row r="534" spans="2:10" x14ac:dyDescent="0.15">
      <c r="B534"/>
      <c r="C534"/>
      <c r="D534"/>
      <c r="E534"/>
      <c r="F534" s="7"/>
      <c r="G534" s="7"/>
      <c r="H534" s="7"/>
      <c r="I534" s="7"/>
      <c r="J534" s="7"/>
    </row>
    <row r="535" spans="2:10" x14ac:dyDescent="0.15">
      <c r="B535"/>
      <c r="C535"/>
      <c r="D535"/>
      <c r="E535"/>
      <c r="F535" s="7"/>
      <c r="G535" s="7"/>
      <c r="H535" s="7"/>
      <c r="I535" s="7"/>
      <c r="J535" s="7"/>
    </row>
    <row r="536" spans="2:10" x14ac:dyDescent="0.15">
      <c r="B536"/>
      <c r="C536"/>
      <c r="D536"/>
      <c r="E536"/>
      <c r="F536" s="7"/>
      <c r="G536" s="7"/>
      <c r="H536" s="7"/>
      <c r="I536" s="7"/>
      <c r="J536" s="7"/>
    </row>
    <row r="537" spans="2:10" x14ac:dyDescent="0.15">
      <c r="B537"/>
      <c r="C537"/>
      <c r="D537"/>
      <c r="E537"/>
      <c r="F537" s="7"/>
      <c r="G537" s="7"/>
      <c r="H537" s="7"/>
      <c r="I537" s="7"/>
      <c r="J537" s="7"/>
    </row>
    <row r="538" spans="2:10" x14ac:dyDescent="0.15">
      <c r="B538"/>
      <c r="C538"/>
      <c r="D538"/>
      <c r="E538"/>
      <c r="F538" s="7"/>
      <c r="G538" s="7"/>
      <c r="H538" s="7"/>
      <c r="I538" s="7"/>
      <c r="J538" s="7"/>
    </row>
    <row r="539" spans="2:10" x14ac:dyDescent="0.15">
      <c r="B539"/>
      <c r="C539"/>
      <c r="D539"/>
      <c r="E539"/>
      <c r="F539" s="7"/>
      <c r="G539" s="7"/>
      <c r="H539" s="7"/>
      <c r="I539" s="7"/>
      <c r="J539" s="7"/>
    </row>
    <row r="540" spans="2:10" x14ac:dyDescent="0.15">
      <c r="B540"/>
      <c r="C540"/>
      <c r="D540"/>
      <c r="E540"/>
      <c r="F540" s="7"/>
      <c r="G540" s="7"/>
      <c r="H540" s="7"/>
      <c r="I540" s="7"/>
      <c r="J540" s="7"/>
    </row>
    <row r="541" spans="2:10" x14ac:dyDescent="0.15">
      <c r="B541"/>
      <c r="C541"/>
      <c r="D541"/>
      <c r="E541"/>
      <c r="F541" s="7"/>
      <c r="G541" s="7"/>
      <c r="H541" s="7"/>
      <c r="I541" s="7"/>
      <c r="J541" s="7"/>
    </row>
    <row r="542" spans="2:10" x14ac:dyDescent="0.15">
      <c r="B542"/>
      <c r="C542"/>
      <c r="D542"/>
      <c r="E542"/>
      <c r="F542" s="7"/>
      <c r="G542" s="7"/>
      <c r="H542" s="7"/>
      <c r="I542" s="7"/>
      <c r="J542" s="7"/>
    </row>
    <row r="543" spans="2:10" x14ac:dyDescent="0.15">
      <c r="B543"/>
      <c r="C543"/>
      <c r="D543"/>
      <c r="E543"/>
      <c r="F543" s="7"/>
      <c r="G543" s="7"/>
      <c r="H543" s="7"/>
      <c r="I543" s="7"/>
      <c r="J543" s="7"/>
    </row>
    <row r="544" spans="2:10" x14ac:dyDescent="0.15">
      <c r="B544"/>
      <c r="C544"/>
      <c r="D544"/>
      <c r="E544"/>
      <c r="F544" s="7"/>
      <c r="G544" s="7"/>
      <c r="H544" s="7"/>
      <c r="I544" s="7"/>
      <c r="J544" s="7"/>
    </row>
    <row r="545" spans="2:10" x14ac:dyDescent="0.15">
      <c r="B545"/>
      <c r="C545"/>
      <c r="D545"/>
      <c r="E545"/>
      <c r="F545" s="7"/>
      <c r="G545" s="7"/>
      <c r="H545" s="7"/>
      <c r="I545" s="7"/>
      <c r="J545" s="7"/>
    </row>
    <row r="546" spans="2:10" x14ac:dyDescent="0.15">
      <c r="B546"/>
      <c r="C546"/>
      <c r="D546"/>
      <c r="E546"/>
      <c r="F546" s="7"/>
      <c r="G546" s="7"/>
      <c r="H546" s="7"/>
      <c r="I546" s="7"/>
      <c r="J546" s="7"/>
    </row>
    <row r="547" spans="2:10" x14ac:dyDescent="0.15">
      <c r="B547"/>
      <c r="C547"/>
      <c r="D547"/>
      <c r="E547"/>
      <c r="F547" s="7"/>
      <c r="G547" s="7"/>
      <c r="H547" s="7"/>
      <c r="I547" s="7"/>
      <c r="J547" s="7"/>
    </row>
    <row r="548" spans="2:10" x14ac:dyDescent="0.15">
      <c r="B548"/>
      <c r="C548"/>
      <c r="D548"/>
      <c r="E548"/>
      <c r="F548" s="7"/>
      <c r="G548" s="7"/>
      <c r="H548" s="7"/>
      <c r="I548" s="7"/>
      <c r="J548" s="7"/>
    </row>
    <row r="549" spans="2:10" x14ac:dyDescent="0.15">
      <c r="B549"/>
      <c r="C549"/>
      <c r="D549"/>
      <c r="E549"/>
      <c r="F549" s="7"/>
      <c r="G549" s="7"/>
      <c r="H549" s="7"/>
      <c r="I549" s="7"/>
      <c r="J549" s="7"/>
    </row>
    <row r="550" spans="2:10" x14ac:dyDescent="0.15">
      <c r="B550"/>
      <c r="C550"/>
      <c r="D550"/>
      <c r="E550"/>
      <c r="F550" s="7"/>
      <c r="G550" s="7"/>
      <c r="H550" s="7"/>
      <c r="I550" s="7"/>
      <c r="J550" s="7"/>
    </row>
    <row r="551" spans="2:10" x14ac:dyDescent="0.15">
      <c r="B551"/>
      <c r="C551"/>
      <c r="D551"/>
      <c r="E551"/>
      <c r="F551" s="7"/>
      <c r="G551" s="7"/>
      <c r="H551" s="7"/>
      <c r="I551" s="7"/>
      <c r="J551" s="7"/>
    </row>
    <row r="552" spans="2:10" x14ac:dyDescent="0.15">
      <c r="B552"/>
      <c r="C552"/>
      <c r="D552"/>
      <c r="E552"/>
      <c r="F552" s="7"/>
      <c r="G552" s="7"/>
      <c r="H552" s="7"/>
      <c r="I552" s="7"/>
      <c r="J552" s="7"/>
    </row>
    <row r="553" spans="2:10" x14ac:dyDescent="0.15">
      <c r="B553"/>
      <c r="C553"/>
      <c r="D553"/>
      <c r="E553"/>
      <c r="F553" s="7"/>
      <c r="G553" s="7"/>
      <c r="H553" s="7"/>
      <c r="I553" s="7"/>
      <c r="J553" s="7"/>
    </row>
    <row r="554" spans="2:10" x14ac:dyDescent="0.15">
      <c r="B554"/>
      <c r="C554"/>
      <c r="D554"/>
      <c r="E554"/>
      <c r="F554" s="7"/>
      <c r="G554" s="7"/>
      <c r="H554" s="7"/>
      <c r="I554" s="7"/>
      <c r="J554" s="7"/>
    </row>
    <row r="555" spans="2:10" x14ac:dyDescent="0.15">
      <c r="B555"/>
      <c r="C555"/>
      <c r="D555"/>
      <c r="E555"/>
      <c r="F555" s="7"/>
      <c r="G555" s="7"/>
      <c r="H555" s="7"/>
      <c r="I555" s="7"/>
      <c r="J555" s="7"/>
    </row>
    <row r="556" spans="2:10" x14ac:dyDescent="0.15">
      <c r="B556"/>
      <c r="C556"/>
      <c r="D556"/>
      <c r="E556"/>
      <c r="F556" s="7"/>
      <c r="G556" s="7"/>
      <c r="H556" s="7"/>
      <c r="I556" s="7"/>
      <c r="J556" s="7"/>
    </row>
    <row r="557" spans="2:10" x14ac:dyDescent="0.15">
      <c r="B557"/>
      <c r="C557"/>
      <c r="D557"/>
      <c r="E557"/>
      <c r="F557" s="7"/>
      <c r="G557" s="7"/>
      <c r="H557" s="7"/>
      <c r="I557" s="7"/>
      <c r="J557" s="7"/>
    </row>
    <row r="558" spans="2:10" x14ac:dyDescent="0.15">
      <c r="B558"/>
      <c r="C558"/>
      <c r="D558"/>
      <c r="E558"/>
      <c r="F558" s="7"/>
      <c r="G558" s="7"/>
      <c r="H558" s="7"/>
      <c r="I558" s="7"/>
      <c r="J558" s="7"/>
    </row>
    <row r="559" spans="2:10" x14ac:dyDescent="0.15">
      <c r="B559"/>
      <c r="C559"/>
      <c r="D559"/>
      <c r="E559"/>
      <c r="F559" s="7"/>
      <c r="G559" s="7"/>
      <c r="H559" s="7"/>
      <c r="I559" s="7"/>
      <c r="J559" s="7"/>
    </row>
    <row r="560" spans="2:10" x14ac:dyDescent="0.15">
      <c r="B560"/>
      <c r="C560"/>
      <c r="D560"/>
      <c r="E560"/>
      <c r="F560" s="7"/>
      <c r="G560" s="7"/>
      <c r="H560" s="7"/>
      <c r="I560" s="7"/>
      <c r="J560" s="7"/>
    </row>
    <row r="561" spans="2:10" x14ac:dyDescent="0.15">
      <c r="B561"/>
      <c r="C561"/>
      <c r="D561"/>
      <c r="E561"/>
      <c r="F561" s="7"/>
      <c r="G561" s="7"/>
      <c r="H561" s="7"/>
      <c r="I561" s="7"/>
      <c r="J561" s="7"/>
    </row>
    <row r="562" spans="2:10" x14ac:dyDescent="0.15">
      <c r="B562"/>
      <c r="C562"/>
      <c r="D562"/>
      <c r="E562"/>
      <c r="F562" s="7"/>
      <c r="G562" s="7"/>
      <c r="H562" s="7"/>
      <c r="I562" s="7"/>
      <c r="J562" s="7"/>
    </row>
    <row r="563" spans="2:10" x14ac:dyDescent="0.15">
      <c r="B563"/>
      <c r="C563"/>
      <c r="D563"/>
      <c r="E563"/>
      <c r="F563" s="7"/>
      <c r="G563" s="7"/>
      <c r="H563" s="7"/>
      <c r="I563" s="7"/>
      <c r="J563" s="7"/>
    </row>
    <row r="564" spans="2:10" x14ac:dyDescent="0.15">
      <c r="B564"/>
      <c r="C564"/>
      <c r="D564"/>
      <c r="E564"/>
      <c r="F564" s="7"/>
      <c r="G564" s="7"/>
      <c r="H564" s="7"/>
      <c r="I564" s="7"/>
      <c r="J564" s="7"/>
    </row>
    <row r="565" spans="2:10" x14ac:dyDescent="0.15">
      <c r="B565"/>
      <c r="C565"/>
      <c r="D565"/>
      <c r="E565"/>
      <c r="F565" s="7"/>
      <c r="G565" s="7"/>
      <c r="H565" s="7"/>
      <c r="I565" s="7"/>
      <c r="J565" s="7"/>
    </row>
    <row r="566" spans="2:10" x14ac:dyDescent="0.15">
      <c r="B566"/>
      <c r="C566"/>
      <c r="D566"/>
      <c r="E566"/>
      <c r="F566" s="7"/>
      <c r="G566" s="7"/>
      <c r="H566" s="7"/>
      <c r="I566" s="7"/>
      <c r="J566" s="7"/>
    </row>
    <row r="567" spans="2:10" x14ac:dyDescent="0.15">
      <c r="B567"/>
      <c r="C567"/>
      <c r="D567"/>
      <c r="E567"/>
      <c r="F567" s="7"/>
      <c r="G567" s="7"/>
      <c r="H567" s="7"/>
      <c r="I567" s="7"/>
      <c r="J567" s="7"/>
    </row>
    <row r="568" spans="2:10" x14ac:dyDescent="0.15">
      <c r="B568"/>
      <c r="C568"/>
      <c r="D568"/>
      <c r="E568"/>
      <c r="F568" s="7"/>
      <c r="G568" s="7"/>
      <c r="H568" s="7"/>
      <c r="I568" s="7"/>
      <c r="J568" s="7"/>
    </row>
    <row r="569" spans="2:10" x14ac:dyDescent="0.15">
      <c r="B569"/>
      <c r="C569"/>
      <c r="D569"/>
      <c r="E569"/>
      <c r="F569" s="7"/>
      <c r="G569" s="7"/>
      <c r="H569" s="7"/>
      <c r="I569" s="7"/>
      <c r="J569" s="7"/>
    </row>
    <row r="570" spans="2:10" x14ac:dyDescent="0.15">
      <c r="B570"/>
      <c r="C570"/>
      <c r="D570"/>
      <c r="E570"/>
      <c r="F570" s="7"/>
      <c r="G570" s="7"/>
      <c r="H570" s="7"/>
      <c r="I570" s="7"/>
      <c r="J570" s="7"/>
    </row>
    <row r="571" spans="2:10" x14ac:dyDescent="0.15">
      <c r="B571"/>
      <c r="C571"/>
      <c r="D571"/>
      <c r="E571"/>
      <c r="F571" s="7"/>
      <c r="G571" s="7"/>
      <c r="H571" s="7"/>
      <c r="I571" s="7"/>
      <c r="J571" s="7"/>
    </row>
    <row r="572" spans="2:10" x14ac:dyDescent="0.15">
      <c r="B572"/>
      <c r="C572"/>
      <c r="D572"/>
      <c r="E572"/>
      <c r="F572" s="7"/>
      <c r="G572" s="7"/>
      <c r="H572" s="7"/>
      <c r="I572" s="7"/>
      <c r="J572" s="7"/>
    </row>
    <row r="573" spans="2:10" x14ac:dyDescent="0.15">
      <c r="B573"/>
      <c r="C573"/>
      <c r="D573"/>
      <c r="E573"/>
      <c r="F573" s="7"/>
      <c r="G573" s="7"/>
      <c r="H573" s="7"/>
      <c r="I573" s="7"/>
      <c r="J573" s="7"/>
    </row>
    <row r="574" spans="2:10" x14ac:dyDescent="0.15">
      <c r="B574"/>
      <c r="C574"/>
      <c r="D574"/>
      <c r="E574"/>
      <c r="F574" s="7"/>
      <c r="G574" s="7"/>
      <c r="H574" s="7"/>
      <c r="I574" s="7"/>
      <c r="J574" s="7"/>
    </row>
    <row r="575" spans="2:10" x14ac:dyDescent="0.15">
      <c r="B575"/>
      <c r="C575"/>
      <c r="D575"/>
      <c r="E575"/>
      <c r="F575" s="7"/>
      <c r="G575" s="7"/>
      <c r="H575" s="7"/>
      <c r="I575" s="7"/>
      <c r="J575" s="7"/>
    </row>
    <row r="576" spans="2:10" x14ac:dyDescent="0.15">
      <c r="B576"/>
      <c r="C576"/>
      <c r="D576"/>
      <c r="E576"/>
      <c r="F576" s="7"/>
      <c r="G576" s="7"/>
      <c r="H576" s="7"/>
      <c r="I576" s="7"/>
      <c r="J576" s="7"/>
    </row>
    <row r="577" spans="2:10" x14ac:dyDescent="0.15">
      <c r="B577"/>
      <c r="C577"/>
      <c r="D577"/>
      <c r="E577"/>
      <c r="F577" s="7"/>
      <c r="G577" s="7"/>
      <c r="H577" s="7"/>
      <c r="I577" s="7"/>
      <c r="J577" s="7"/>
    </row>
    <row r="578" spans="2:10" x14ac:dyDescent="0.15">
      <c r="B578"/>
      <c r="C578"/>
      <c r="D578"/>
      <c r="E578"/>
      <c r="F578" s="7"/>
      <c r="G578" s="7"/>
      <c r="H578" s="7"/>
      <c r="I578" s="7"/>
      <c r="J578" s="7"/>
    </row>
    <row r="579" spans="2:10" x14ac:dyDescent="0.15">
      <c r="B579"/>
      <c r="C579"/>
      <c r="D579"/>
      <c r="E579"/>
      <c r="F579" s="7"/>
      <c r="G579" s="7"/>
      <c r="H579" s="7"/>
      <c r="I579" s="7"/>
      <c r="J579" s="7"/>
    </row>
    <row r="580" spans="2:10" x14ac:dyDescent="0.15">
      <c r="B580"/>
      <c r="C580"/>
      <c r="D580"/>
      <c r="E580"/>
      <c r="F580" s="7"/>
      <c r="G580" s="7"/>
      <c r="H580" s="7"/>
      <c r="I580" s="7"/>
      <c r="J580" s="7"/>
    </row>
    <row r="581" spans="2:10" x14ac:dyDescent="0.15">
      <c r="B581"/>
      <c r="C581"/>
      <c r="D581"/>
      <c r="E581"/>
      <c r="F581" s="7"/>
      <c r="G581" s="7"/>
      <c r="H581" s="7"/>
      <c r="I581" s="7"/>
      <c r="J581" s="7"/>
    </row>
    <row r="582" spans="2:10" x14ac:dyDescent="0.15">
      <c r="B582"/>
      <c r="C582"/>
      <c r="D582"/>
      <c r="E582"/>
      <c r="F582" s="7"/>
      <c r="G582" s="7"/>
      <c r="H582" s="7"/>
      <c r="I582" s="7"/>
      <c r="J582" s="7"/>
    </row>
    <row r="583" spans="2:10" x14ac:dyDescent="0.15">
      <c r="B583"/>
      <c r="C583"/>
      <c r="D583"/>
      <c r="E583"/>
      <c r="F583" s="7"/>
      <c r="G583" s="7"/>
      <c r="H583" s="7"/>
      <c r="I583" s="7"/>
      <c r="J583" s="7"/>
    </row>
    <row r="584" spans="2:10" x14ac:dyDescent="0.15">
      <c r="B584"/>
      <c r="C584"/>
      <c r="D584"/>
      <c r="E584"/>
      <c r="F584" s="7"/>
      <c r="G584" s="7"/>
      <c r="H584" s="7"/>
      <c r="I584" s="7"/>
      <c r="J584" s="7"/>
    </row>
    <row r="585" spans="2:10" x14ac:dyDescent="0.15">
      <c r="B585"/>
      <c r="C585"/>
      <c r="D585"/>
      <c r="E585"/>
      <c r="F585" s="7"/>
      <c r="G585" s="7"/>
      <c r="H585" s="7"/>
      <c r="I585" s="7"/>
      <c r="J585" s="7"/>
    </row>
    <row r="586" spans="2:10" x14ac:dyDescent="0.15">
      <c r="B586"/>
      <c r="C586"/>
      <c r="D586"/>
      <c r="E586"/>
      <c r="F586" s="7"/>
      <c r="G586" s="7"/>
      <c r="H586" s="7"/>
      <c r="I586" s="7"/>
      <c r="J586" s="7"/>
    </row>
    <row r="587" spans="2:10" x14ac:dyDescent="0.15">
      <c r="B587"/>
      <c r="C587"/>
      <c r="D587"/>
      <c r="E587"/>
      <c r="F587" s="7"/>
      <c r="G587" s="7"/>
      <c r="H587" s="7"/>
      <c r="I587" s="7"/>
      <c r="J587" s="7"/>
    </row>
    <row r="588" spans="2:10" x14ac:dyDescent="0.15">
      <c r="B588"/>
      <c r="C588"/>
      <c r="D588"/>
      <c r="E588"/>
      <c r="F588" s="7"/>
      <c r="G588" s="7"/>
      <c r="H588" s="7"/>
      <c r="I588" s="7"/>
      <c r="J588" s="7"/>
    </row>
    <row r="589" spans="2:10" x14ac:dyDescent="0.15">
      <c r="B589"/>
      <c r="C589"/>
      <c r="D589"/>
      <c r="E589"/>
      <c r="F589" s="7"/>
      <c r="G589" s="7"/>
      <c r="H589" s="7"/>
      <c r="I589" s="7"/>
      <c r="J589" s="7"/>
    </row>
    <row r="590" spans="2:10" x14ac:dyDescent="0.15">
      <c r="B590"/>
      <c r="C590"/>
      <c r="D590"/>
      <c r="E590"/>
      <c r="F590" s="7"/>
      <c r="G590" s="7"/>
      <c r="H590" s="7"/>
      <c r="I590" s="7"/>
      <c r="J590" s="7"/>
    </row>
    <row r="591" spans="2:10" x14ac:dyDescent="0.15">
      <c r="B591"/>
      <c r="C591"/>
      <c r="D591"/>
      <c r="E591"/>
      <c r="F591" s="7"/>
      <c r="G591" s="7"/>
      <c r="H591" s="7"/>
      <c r="I591" s="7"/>
      <c r="J591" s="7"/>
    </row>
    <row r="592" spans="2:10" x14ac:dyDescent="0.15">
      <c r="B592"/>
      <c r="C592"/>
      <c r="D592"/>
      <c r="E592"/>
      <c r="F592" s="7"/>
      <c r="G592" s="7"/>
      <c r="H592" s="7"/>
      <c r="I592" s="7"/>
      <c r="J592" s="7"/>
    </row>
    <row r="593" spans="2:10" x14ac:dyDescent="0.15">
      <c r="B593"/>
      <c r="C593"/>
      <c r="D593"/>
      <c r="E593"/>
      <c r="F593" s="7"/>
      <c r="G593" s="7"/>
      <c r="H593" s="7"/>
      <c r="I593" s="7"/>
      <c r="J593" s="7"/>
    </row>
    <row r="594" spans="2:10" x14ac:dyDescent="0.15">
      <c r="B594"/>
      <c r="C594"/>
      <c r="D594"/>
      <c r="E594"/>
      <c r="F594" s="7"/>
      <c r="G594" s="7"/>
      <c r="H594" s="7"/>
      <c r="I594" s="7"/>
      <c r="J594" s="7"/>
    </row>
    <row r="595" spans="2:10" x14ac:dyDescent="0.15">
      <c r="B595"/>
      <c r="C595"/>
      <c r="D595"/>
      <c r="E595"/>
      <c r="F595" s="7"/>
      <c r="G595" s="7"/>
      <c r="H595" s="7"/>
      <c r="I595" s="7"/>
      <c r="J595" s="7"/>
    </row>
    <row r="596" spans="2:10" x14ac:dyDescent="0.15">
      <c r="B596"/>
      <c r="C596"/>
      <c r="D596"/>
      <c r="E596"/>
      <c r="F596" s="7"/>
      <c r="G596" s="7"/>
      <c r="H596" s="7"/>
      <c r="I596" s="7"/>
      <c r="J596" s="7"/>
    </row>
    <row r="597" spans="2:10" x14ac:dyDescent="0.15">
      <c r="B597"/>
      <c r="C597"/>
      <c r="D597"/>
      <c r="E597"/>
      <c r="F597" s="7"/>
      <c r="G597" s="7"/>
      <c r="H597" s="7"/>
      <c r="I597" s="7"/>
      <c r="J597" s="7"/>
    </row>
    <row r="598" spans="2:10" x14ac:dyDescent="0.15">
      <c r="B598"/>
      <c r="C598"/>
      <c r="D598"/>
      <c r="E598"/>
      <c r="F598" s="7"/>
      <c r="G598" s="7"/>
      <c r="H598" s="7"/>
      <c r="I598" s="7"/>
      <c r="J598" s="7"/>
    </row>
    <row r="599" spans="2:10" x14ac:dyDescent="0.15">
      <c r="B599"/>
      <c r="C599"/>
      <c r="D599"/>
      <c r="E599"/>
      <c r="F599" s="7"/>
      <c r="G599" s="7"/>
      <c r="H599" s="7"/>
      <c r="I599" s="7"/>
      <c r="J599" s="7"/>
    </row>
    <row r="600" spans="2:10" x14ac:dyDescent="0.15">
      <c r="B600"/>
      <c r="C600"/>
      <c r="D600"/>
      <c r="E600"/>
      <c r="F600" s="7"/>
      <c r="G600" s="7"/>
      <c r="H600" s="7"/>
      <c r="I600" s="7"/>
      <c r="J600" s="7"/>
    </row>
    <row r="601" spans="2:10" x14ac:dyDescent="0.15">
      <c r="B601"/>
      <c r="C601"/>
      <c r="D601"/>
      <c r="E601"/>
      <c r="F601" s="7"/>
      <c r="G601" s="7"/>
      <c r="H601" s="7"/>
      <c r="I601" s="7"/>
      <c r="J601" s="7"/>
    </row>
    <row r="602" spans="2:10" x14ac:dyDescent="0.15">
      <c r="B602"/>
      <c r="C602"/>
      <c r="D602"/>
      <c r="E602"/>
      <c r="F602" s="7"/>
      <c r="G602" s="7"/>
      <c r="H602" s="7"/>
      <c r="I602" s="7"/>
      <c r="J602" s="7"/>
    </row>
    <row r="603" spans="2:10" x14ac:dyDescent="0.15">
      <c r="B603"/>
      <c r="C603"/>
      <c r="D603"/>
      <c r="E603"/>
      <c r="F603" s="7"/>
      <c r="G603" s="7"/>
      <c r="H603" s="7"/>
      <c r="I603" s="7"/>
      <c r="J603" s="7"/>
    </row>
    <row r="604" spans="2:10" x14ac:dyDescent="0.15">
      <c r="B604"/>
      <c r="C604"/>
      <c r="D604"/>
      <c r="E604"/>
      <c r="F604" s="7"/>
      <c r="G604" s="7"/>
      <c r="H604" s="7"/>
      <c r="I604" s="7"/>
      <c r="J604" s="7"/>
    </row>
    <row r="605" spans="2:10" x14ac:dyDescent="0.15">
      <c r="B605"/>
      <c r="C605"/>
      <c r="D605"/>
      <c r="E605"/>
      <c r="F605" s="7"/>
      <c r="G605" s="7"/>
      <c r="H605" s="7"/>
      <c r="I605" s="7"/>
      <c r="J605" s="7"/>
    </row>
    <row r="606" spans="2:10" x14ac:dyDescent="0.15">
      <c r="B606"/>
      <c r="C606"/>
      <c r="D606"/>
      <c r="E606"/>
      <c r="F606" s="7"/>
      <c r="G606" s="7"/>
      <c r="H606" s="7"/>
      <c r="I606" s="7"/>
      <c r="J606" s="7"/>
    </row>
    <row r="607" spans="2:10" x14ac:dyDescent="0.15">
      <c r="B607"/>
      <c r="C607"/>
      <c r="D607"/>
      <c r="E607"/>
      <c r="F607" s="7"/>
      <c r="G607" s="7"/>
      <c r="H607" s="7"/>
      <c r="I607" s="7"/>
      <c r="J607" s="7"/>
    </row>
    <row r="608" spans="2:10" x14ac:dyDescent="0.15">
      <c r="B608"/>
      <c r="C608"/>
      <c r="D608"/>
      <c r="E608"/>
      <c r="F608" s="7"/>
      <c r="G608" s="7"/>
      <c r="H608" s="7"/>
      <c r="I608" s="7"/>
      <c r="J608" s="7"/>
    </row>
    <row r="609" spans="2:10" x14ac:dyDescent="0.15">
      <c r="B609"/>
      <c r="C609"/>
      <c r="D609"/>
      <c r="E609"/>
      <c r="F609" s="7"/>
      <c r="G609" s="7"/>
      <c r="H609" s="7"/>
      <c r="I609" s="7"/>
      <c r="J609" s="7"/>
    </row>
    <row r="610" spans="2:10" x14ac:dyDescent="0.15">
      <c r="B610"/>
      <c r="C610"/>
      <c r="D610"/>
      <c r="E610"/>
      <c r="F610" s="7"/>
      <c r="G610" s="7"/>
      <c r="H610" s="7"/>
      <c r="I610" s="7"/>
      <c r="J610" s="7"/>
    </row>
    <row r="611" spans="2:10" x14ac:dyDescent="0.15">
      <c r="B611"/>
      <c r="C611"/>
      <c r="D611"/>
      <c r="E611"/>
      <c r="F611" s="7"/>
      <c r="G611" s="7"/>
      <c r="H611" s="7"/>
      <c r="I611" s="7"/>
      <c r="J611" s="7"/>
    </row>
    <row r="612" spans="2:10" x14ac:dyDescent="0.15">
      <c r="B612"/>
      <c r="C612"/>
      <c r="D612"/>
      <c r="E612"/>
      <c r="F612" s="7"/>
      <c r="G612" s="7"/>
      <c r="H612" s="7"/>
      <c r="I612" s="7"/>
      <c r="J612" s="7"/>
    </row>
    <row r="613" spans="2:10" x14ac:dyDescent="0.15">
      <c r="B613"/>
      <c r="C613"/>
      <c r="D613"/>
      <c r="E613"/>
      <c r="F613" s="7"/>
      <c r="G613" s="7"/>
      <c r="H613" s="7"/>
      <c r="I613" s="7"/>
      <c r="J613" s="7"/>
    </row>
    <row r="614" spans="2:10" x14ac:dyDescent="0.15">
      <c r="B614"/>
      <c r="C614"/>
      <c r="D614"/>
      <c r="E614"/>
      <c r="F614" s="7"/>
      <c r="G614" s="7"/>
      <c r="H614" s="7"/>
      <c r="I614" s="7"/>
      <c r="J614" s="7"/>
    </row>
    <row r="615" spans="2:10" x14ac:dyDescent="0.15">
      <c r="B615"/>
      <c r="C615"/>
      <c r="D615"/>
      <c r="E615"/>
      <c r="F615" s="7"/>
      <c r="G615" s="7"/>
      <c r="H615" s="7"/>
      <c r="I615" s="7"/>
      <c r="J615" s="7"/>
    </row>
    <row r="616" spans="2:10" x14ac:dyDescent="0.15">
      <c r="B616"/>
      <c r="C616"/>
      <c r="D616"/>
      <c r="E616"/>
      <c r="F616" s="7"/>
      <c r="G616" s="7"/>
      <c r="H616" s="7"/>
      <c r="I616" s="7"/>
      <c r="J616" s="7"/>
    </row>
    <row r="617" spans="2:10" x14ac:dyDescent="0.15">
      <c r="B617"/>
      <c r="C617"/>
      <c r="D617"/>
      <c r="E617"/>
      <c r="F617" s="7"/>
      <c r="G617" s="7"/>
      <c r="H617" s="7"/>
      <c r="I617" s="7"/>
      <c r="J617" s="7"/>
    </row>
    <row r="618" spans="2:10" x14ac:dyDescent="0.15">
      <c r="B618"/>
      <c r="C618"/>
      <c r="D618"/>
      <c r="E618"/>
      <c r="F618" s="7"/>
      <c r="G618" s="7"/>
      <c r="H618" s="7"/>
      <c r="I618" s="7"/>
      <c r="J618" s="7"/>
    </row>
    <row r="619" spans="2:10" x14ac:dyDescent="0.15">
      <c r="B619"/>
      <c r="C619"/>
      <c r="D619"/>
      <c r="E619"/>
      <c r="F619" s="7"/>
      <c r="G619" s="7"/>
      <c r="H619" s="7"/>
      <c r="I619" s="7"/>
      <c r="J619" s="7"/>
    </row>
    <row r="620" spans="2:10" x14ac:dyDescent="0.15">
      <c r="B620"/>
      <c r="C620"/>
      <c r="D620"/>
      <c r="E620"/>
      <c r="F620" s="7"/>
      <c r="G620" s="7"/>
      <c r="H620" s="7"/>
      <c r="I620" s="7"/>
      <c r="J620" s="7"/>
    </row>
    <row r="621" spans="2:10" x14ac:dyDescent="0.15">
      <c r="B621"/>
      <c r="C621"/>
      <c r="D621"/>
      <c r="E621"/>
      <c r="F621" s="7"/>
      <c r="G621" s="7"/>
      <c r="H621" s="7"/>
      <c r="I621" s="7"/>
      <c r="J621" s="7"/>
    </row>
    <row r="622" spans="2:10" x14ac:dyDescent="0.15">
      <c r="B622"/>
      <c r="C622"/>
      <c r="D622"/>
      <c r="E622"/>
      <c r="F622" s="7"/>
      <c r="G622" s="7"/>
      <c r="H622" s="7"/>
      <c r="I622" s="7"/>
      <c r="J622" s="7"/>
    </row>
    <row r="623" spans="2:10" x14ac:dyDescent="0.15">
      <c r="B623"/>
      <c r="C623"/>
      <c r="D623"/>
      <c r="E623"/>
      <c r="F623" s="7"/>
      <c r="G623" s="7"/>
      <c r="H623" s="7"/>
      <c r="I623" s="7"/>
      <c r="J623" s="7"/>
    </row>
    <row r="624" spans="2:10" x14ac:dyDescent="0.15">
      <c r="B624"/>
      <c r="C624"/>
      <c r="D624"/>
      <c r="E624"/>
      <c r="F624" s="7"/>
      <c r="G624" s="7"/>
      <c r="H624" s="7"/>
      <c r="I624" s="7"/>
      <c r="J624" s="7"/>
    </row>
    <row r="625" spans="2:10" x14ac:dyDescent="0.15">
      <c r="B625"/>
      <c r="C625"/>
      <c r="D625"/>
      <c r="E625"/>
      <c r="F625" s="7"/>
      <c r="G625" s="7"/>
      <c r="H625" s="7"/>
      <c r="I625" s="7"/>
      <c r="J625" s="7"/>
    </row>
    <row r="626" spans="2:10" x14ac:dyDescent="0.15">
      <c r="B626"/>
      <c r="C626"/>
      <c r="D626"/>
      <c r="E626"/>
      <c r="F626" s="7"/>
      <c r="G626" s="7"/>
      <c r="H626" s="7"/>
      <c r="I626" s="7"/>
      <c r="J626" s="7"/>
    </row>
    <row r="627" spans="2:10" x14ac:dyDescent="0.15">
      <c r="B627"/>
      <c r="C627"/>
      <c r="D627"/>
      <c r="E627"/>
      <c r="F627" s="7"/>
      <c r="G627" s="7"/>
      <c r="H627" s="7"/>
      <c r="I627" s="7"/>
      <c r="J627" s="7"/>
    </row>
    <row r="628" spans="2:10" x14ac:dyDescent="0.15">
      <c r="B628"/>
      <c r="C628"/>
      <c r="D628"/>
      <c r="E628"/>
      <c r="F628" s="7"/>
      <c r="G628" s="7"/>
      <c r="H628" s="7"/>
      <c r="I628" s="7"/>
      <c r="J628" s="7"/>
    </row>
    <row r="629" spans="2:10" x14ac:dyDescent="0.15">
      <c r="B629"/>
      <c r="C629"/>
      <c r="D629"/>
      <c r="E629"/>
      <c r="F629" s="7"/>
      <c r="G629" s="7"/>
      <c r="H629" s="7"/>
      <c r="I629" s="7"/>
      <c r="J629" s="7"/>
    </row>
    <row r="630" spans="2:10" x14ac:dyDescent="0.15">
      <c r="B630"/>
      <c r="C630"/>
      <c r="D630"/>
      <c r="E630"/>
      <c r="F630" s="7"/>
      <c r="G630" s="7"/>
      <c r="H630" s="7"/>
      <c r="I630" s="7"/>
      <c r="J630" s="7"/>
    </row>
    <row r="631" spans="2:10" x14ac:dyDescent="0.15">
      <c r="B631"/>
      <c r="C631"/>
      <c r="D631"/>
      <c r="E631"/>
      <c r="F631" s="7"/>
      <c r="G631" s="7"/>
      <c r="H631" s="7"/>
      <c r="I631" s="7"/>
      <c r="J631" s="7"/>
    </row>
    <row r="632" spans="2:10" x14ac:dyDescent="0.15">
      <c r="B632"/>
      <c r="C632"/>
      <c r="D632"/>
      <c r="E632"/>
      <c r="F632" s="7"/>
      <c r="G632" s="7"/>
      <c r="H632" s="7"/>
      <c r="I632" s="7"/>
      <c r="J632" s="7"/>
    </row>
    <row r="633" spans="2:10" x14ac:dyDescent="0.15">
      <c r="B633"/>
      <c r="C633"/>
      <c r="D633"/>
      <c r="E633"/>
      <c r="F633" s="7"/>
      <c r="G633" s="7"/>
      <c r="H633" s="7"/>
      <c r="I633" s="7"/>
      <c r="J633" s="7"/>
    </row>
    <row r="634" spans="2:10" x14ac:dyDescent="0.15">
      <c r="B634"/>
      <c r="C634"/>
      <c r="D634"/>
      <c r="E634"/>
      <c r="F634" s="7"/>
      <c r="G634" s="7"/>
      <c r="H634" s="7"/>
      <c r="I634" s="7"/>
      <c r="J634" s="7"/>
    </row>
    <row r="635" spans="2:10" x14ac:dyDescent="0.15">
      <c r="B635"/>
      <c r="C635"/>
      <c r="D635"/>
      <c r="E635"/>
      <c r="F635" s="7"/>
      <c r="G635" s="7"/>
      <c r="H635" s="7"/>
      <c r="I635" s="7"/>
      <c r="J635" s="7"/>
    </row>
    <row r="636" spans="2:10" x14ac:dyDescent="0.15">
      <c r="B636"/>
      <c r="C636"/>
      <c r="D636"/>
      <c r="E636"/>
      <c r="F636" s="7"/>
      <c r="G636" s="7"/>
      <c r="H636" s="7"/>
      <c r="I636" s="7"/>
      <c r="J636" s="7"/>
    </row>
    <row r="637" spans="2:10" x14ac:dyDescent="0.15">
      <c r="B637"/>
      <c r="C637"/>
      <c r="D637"/>
      <c r="E637"/>
      <c r="F637" s="7"/>
      <c r="G637" s="7"/>
      <c r="H637" s="7"/>
      <c r="I637" s="7"/>
      <c r="J637" s="7"/>
    </row>
    <row r="638" spans="2:10" x14ac:dyDescent="0.15">
      <c r="B638"/>
      <c r="C638"/>
      <c r="D638"/>
      <c r="E638"/>
      <c r="F638" s="7"/>
      <c r="G638" s="7"/>
      <c r="H638" s="7"/>
      <c r="I638" s="7"/>
      <c r="J638" s="7"/>
    </row>
    <row r="639" spans="2:10" x14ac:dyDescent="0.15">
      <c r="B639"/>
      <c r="C639"/>
      <c r="D639"/>
      <c r="E639"/>
      <c r="F639" s="7"/>
      <c r="G639" s="7"/>
      <c r="H639" s="7"/>
      <c r="I639" s="7"/>
      <c r="J639" s="7"/>
    </row>
    <row r="640" spans="2:10" x14ac:dyDescent="0.15">
      <c r="B640"/>
      <c r="C640"/>
      <c r="D640"/>
      <c r="E640"/>
      <c r="F640" s="7"/>
      <c r="G640" s="7"/>
      <c r="H640" s="7"/>
      <c r="I640" s="7"/>
      <c r="J640" s="7"/>
    </row>
    <row r="641" spans="2:10" x14ac:dyDescent="0.15">
      <c r="B641"/>
      <c r="C641"/>
      <c r="D641"/>
      <c r="E641"/>
      <c r="F641" s="7"/>
      <c r="G641" s="7"/>
      <c r="H641" s="7"/>
      <c r="I641" s="7"/>
      <c r="J641" s="7"/>
    </row>
    <row r="642" spans="2:10" x14ac:dyDescent="0.15">
      <c r="B642"/>
      <c r="C642"/>
      <c r="D642"/>
      <c r="E642"/>
      <c r="F642" s="7"/>
      <c r="G642" s="7"/>
      <c r="H642" s="7"/>
      <c r="I642" s="7"/>
      <c r="J642" s="7"/>
    </row>
    <row r="643" spans="2:10" x14ac:dyDescent="0.15">
      <c r="B643"/>
      <c r="C643"/>
      <c r="D643"/>
      <c r="E643"/>
      <c r="F643" s="7"/>
      <c r="G643" s="7"/>
      <c r="H643" s="7"/>
      <c r="I643" s="7"/>
      <c r="J643" s="7"/>
    </row>
    <row r="644" spans="2:10" x14ac:dyDescent="0.15">
      <c r="B644"/>
      <c r="C644"/>
      <c r="D644"/>
      <c r="E644"/>
      <c r="F644" s="7"/>
      <c r="G644" s="7"/>
      <c r="H644" s="7"/>
      <c r="I644" s="7"/>
      <c r="J644" s="7"/>
    </row>
    <row r="645" spans="2:10" x14ac:dyDescent="0.15">
      <c r="B645"/>
      <c r="C645"/>
      <c r="D645"/>
      <c r="E645"/>
      <c r="F645" s="7"/>
      <c r="G645" s="7"/>
      <c r="H645" s="7"/>
      <c r="I645" s="7"/>
      <c r="J645" s="7"/>
    </row>
    <row r="646" spans="2:10" x14ac:dyDescent="0.15">
      <c r="B646"/>
      <c r="C646"/>
      <c r="D646"/>
      <c r="E646"/>
      <c r="F646" s="7"/>
      <c r="G646" s="7"/>
      <c r="H646" s="7"/>
      <c r="I646" s="7"/>
      <c r="J646" s="7"/>
    </row>
    <row r="647" spans="2:10" x14ac:dyDescent="0.15">
      <c r="B647"/>
      <c r="C647"/>
      <c r="D647"/>
      <c r="E647"/>
      <c r="F647" s="7"/>
      <c r="G647" s="7"/>
      <c r="H647" s="7"/>
      <c r="I647" s="7"/>
      <c r="J647" s="7"/>
    </row>
    <row r="648" spans="2:10" x14ac:dyDescent="0.15">
      <c r="B648"/>
      <c r="C648"/>
      <c r="D648"/>
      <c r="E648"/>
      <c r="F648" s="7"/>
      <c r="G648" s="7"/>
      <c r="H648" s="7"/>
      <c r="I648" s="7"/>
      <c r="J648" s="7"/>
    </row>
    <row r="649" spans="2:10" x14ac:dyDescent="0.15">
      <c r="B649"/>
      <c r="C649"/>
      <c r="D649"/>
      <c r="E649"/>
      <c r="F649" s="7"/>
      <c r="G649" s="7"/>
      <c r="H649" s="7"/>
      <c r="I649" s="7"/>
      <c r="J649" s="7"/>
    </row>
    <row r="650" spans="2:10" x14ac:dyDescent="0.15">
      <c r="B650"/>
      <c r="C650"/>
      <c r="D650"/>
      <c r="E650"/>
      <c r="F650" s="7"/>
      <c r="G650" s="7"/>
      <c r="H650" s="7"/>
      <c r="I650" s="7"/>
      <c r="J650" s="7"/>
    </row>
    <row r="651" spans="2:10" x14ac:dyDescent="0.15">
      <c r="B651"/>
      <c r="C651"/>
      <c r="D651"/>
      <c r="E651"/>
      <c r="F651" s="7"/>
      <c r="G651" s="7"/>
      <c r="H651" s="7"/>
      <c r="I651" s="7"/>
      <c r="J651" s="7"/>
    </row>
    <row r="652" spans="2:10" x14ac:dyDescent="0.15">
      <c r="B652"/>
      <c r="C652"/>
      <c r="D652"/>
      <c r="E652"/>
      <c r="F652" s="7"/>
      <c r="G652" s="7"/>
      <c r="H652" s="7"/>
      <c r="I652" s="7"/>
      <c r="J652" s="7"/>
    </row>
    <row r="653" spans="2:10" x14ac:dyDescent="0.15">
      <c r="B653"/>
      <c r="C653"/>
      <c r="D653"/>
      <c r="E653"/>
      <c r="F653" s="7"/>
      <c r="G653" s="7"/>
      <c r="H653" s="7"/>
      <c r="I653" s="7"/>
      <c r="J653" s="7"/>
    </row>
    <row r="654" spans="2:10" x14ac:dyDescent="0.15">
      <c r="B654"/>
      <c r="C654"/>
      <c r="D654"/>
      <c r="E654"/>
      <c r="F654" s="7"/>
      <c r="G654" s="7"/>
      <c r="H654" s="7"/>
      <c r="I654" s="7"/>
      <c r="J654" s="7"/>
    </row>
    <row r="655" spans="2:10" x14ac:dyDescent="0.15">
      <c r="B655"/>
      <c r="C655"/>
      <c r="D655"/>
      <c r="E655"/>
      <c r="F655" s="7"/>
      <c r="G655" s="7"/>
      <c r="H655" s="7"/>
      <c r="I655" s="7"/>
      <c r="J655" s="7"/>
    </row>
    <row r="656" spans="2:10" x14ac:dyDescent="0.15">
      <c r="B656"/>
      <c r="C656"/>
      <c r="D656"/>
      <c r="E656"/>
      <c r="F656" s="7"/>
      <c r="G656" s="7"/>
      <c r="H656" s="7"/>
      <c r="I656" s="7"/>
      <c r="J656" s="7"/>
    </row>
    <row r="657" spans="2:10" x14ac:dyDescent="0.15">
      <c r="B657"/>
      <c r="C657"/>
      <c r="D657"/>
      <c r="E657"/>
      <c r="F657" s="7"/>
      <c r="G657" s="7"/>
      <c r="H657" s="7"/>
      <c r="I657" s="7"/>
      <c r="J657" s="7"/>
    </row>
    <row r="658" spans="2:10" x14ac:dyDescent="0.15">
      <c r="B658"/>
      <c r="C658"/>
      <c r="D658"/>
      <c r="E658"/>
      <c r="F658" s="7"/>
      <c r="G658" s="7"/>
      <c r="H658" s="7"/>
      <c r="I658" s="7"/>
      <c r="J658" s="7"/>
    </row>
    <row r="659" spans="2:10" x14ac:dyDescent="0.15">
      <c r="B659"/>
      <c r="C659"/>
      <c r="D659"/>
      <c r="E659"/>
      <c r="F659" s="7"/>
      <c r="G659" s="7"/>
      <c r="H659" s="7"/>
      <c r="I659" s="7"/>
      <c r="J659" s="7"/>
    </row>
    <row r="660" spans="2:10" x14ac:dyDescent="0.15">
      <c r="B660"/>
      <c r="C660"/>
      <c r="D660"/>
      <c r="E660"/>
      <c r="F660" s="7"/>
      <c r="G660" s="7"/>
      <c r="H660" s="7"/>
      <c r="I660" s="7"/>
      <c r="J660" s="7"/>
    </row>
    <row r="661" spans="2:10" x14ac:dyDescent="0.15">
      <c r="B661"/>
      <c r="C661"/>
      <c r="D661"/>
      <c r="E661"/>
      <c r="F661" s="7"/>
      <c r="G661" s="7"/>
      <c r="H661" s="7"/>
      <c r="I661" s="7"/>
      <c r="J661" s="7"/>
    </row>
    <row r="662" spans="2:10" x14ac:dyDescent="0.15">
      <c r="B662"/>
      <c r="C662"/>
      <c r="D662"/>
      <c r="E662"/>
      <c r="F662" s="7"/>
      <c r="G662" s="7"/>
      <c r="H662" s="7"/>
      <c r="I662" s="7"/>
      <c r="J662" s="7"/>
    </row>
    <row r="663" spans="2:10" x14ac:dyDescent="0.15">
      <c r="B663"/>
      <c r="C663"/>
      <c r="D663"/>
      <c r="E663"/>
      <c r="F663" s="7"/>
      <c r="G663" s="7"/>
      <c r="H663" s="7"/>
      <c r="I663" s="7"/>
      <c r="J663" s="7"/>
    </row>
    <row r="664" spans="2:10" x14ac:dyDescent="0.15">
      <c r="B664"/>
      <c r="C664"/>
      <c r="D664"/>
      <c r="E664"/>
      <c r="F664" s="7"/>
      <c r="G664" s="7"/>
      <c r="H664" s="7"/>
      <c r="I664" s="7"/>
      <c r="J664" s="7"/>
    </row>
    <row r="665" spans="2:10" x14ac:dyDescent="0.15">
      <c r="B665"/>
      <c r="C665"/>
      <c r="D665"/>
      <c r="E665"/>
      <c r="F665" s="7"/>
      <c r="G665" s="7"/>
      <c r="H665" s="7"/>
      <c r="I665" s="7"/>
      <c r="J665" s="7"/>
    </row>
    <row r="666" spans="2:10" x14ac:dyDescent="0.15">
      <c r="B666"/>
      <c r="C666"/>
      <c r="D666"/>
      <c r="E666"/>
      <c r="F666" s="7"/>
      <c r="G666" s="7"/>
      <c r="H666" s="7"/>
      <c r="I666" s="7"/>
      <c r="J666" s="7"/>
    </row>
    <row r="667" spans="2:10" x14ac:dyDescent="0.15">
      <c r="B667"/>
      <c r="C667"/>
      <c r="D667"/>
      <c r="E667"/>
      <c r="F667" s="7"/>
      <c r="G667" s="7"/>
      <c r="H667" s="7"/>
      <c r="I667" s="7"/>
      <c r="J667" s="7"/>
    </row>
    <row r="668" spans="2:10" x14ac:dyDescent="0.15">
      <c r="B668"/>
      <c r="C668"/>
      <c r="D668"/>
      <c r="E668"/>
      <c r="F668" s="7"/>
      <c r="G668" s="7"/>
      <c r="H668" s="7"/>
      <c r="I668" s="7"/>
      <c r="J668" s="7"/>
    </row>
    <row r="669" spans="2:10" x14ac:dyDescent="0.15">
      <c r="B669"/>
      <c r="C669"/>
      <c r="D669"/>
      <c r="E669"/>
      <c r="F669" s="7"/>
      <c r="G669" s="7"/>
      <c r="H669" s="7"/>
      <c r="I669" s="7"/>
      <c r="J669" s="7"/>
    </row>
    <row r="670" spans="2:10" x14ac:dyDescent="0.15">
      <c r="B670"/>
      <c r="C670"/>
      <c r="D670"/>
      <c r="E670"/>
      <c r="F670" s="7"/>
      <c r="G670" s="7"/>
      <c r="H670" s="7"/>
      <c r="I670" s="7"/>
      <c r="J670" s="7"/>
    </row>
    <row r="671" spans="2:10" x14ac:dyDescent="0.15">
      <c r="B671"/>
      <c r="C671"/>
      <c r="D671"/>
      <c r="E671"/>
      <c r="F671" s="7"/>
      <c r="G671" s="7"/>
      <c r="H671" s="7"/>
      <c r="I671" s="7"/>
      <c r="J671" s="7"/>
    </row>
    <row r="672" spans="2:10" x14ac:dyDescent="0.15">
      <c r="B672"/>
      <c r="C672"/>
      <c r="D672"/>
      <c r="E672"/>
      <c r="F672" s="7"/>
      <c r="G672" s="7"/>
      <c r="H672" s="7"/>
      <c r="I672" s="7"/>
      <c r="J672" s="7"/>
    </row>
    <row r="673" spans="2:10" x14ac:dyDescent="0.15">
      <c r="B673"/>
      <c r="C673"/>
      <c r="D673"/>
      <c r="E673"/>
      <c r="F673" s="7"/>
      <c r="G673" s="7"/>
      <c r="H673" s="7"/>
      <c r="I673" s="7"/>
      <c r="J673" s="7"/>
    </row>
    <row r="674" spans="2:10" x14ac:dyDescent="0.15">
      <c r="B674"/>
      <c r="C674"/>
      <c r="D674"/>
      <c r="E674"/>
      <c r="F674" s="7"/>
      <c r="G674" s="7"/>
      <c r="H674" s="7"/>
      <c r="I674" s="7"/>
      <c r="J674" s="7"/>
    </row>
    <row r="675" spans="2:10" x14ac:dyDescent="0.15">
      <c r="B675"/>
      <c r="C675"/>
      <c r="D675"/>
      <c r="E675"/>
      <c r="F675" s="7"/>
      <c r="G675" s="7"/>
      <c r="H675" s="7"/>
      <c r="I675" s="7"/>
      <c r="J675" s="7"/>
    </row>
    <row r="676" spans="2:10" x14ac:dyDescent="0.15">
      <c r="B676"/>
      <c r="C676"/>
      <c r="D676"/>
      <c r="E676"/>
      <c r="F676" s="7"/>
      <c r="G676" s="7"/>
      <c r="H676" s="7"/>
      <c r="I676" s="7"/>
      <c r="J676" s="7"/>
    </row>
    <row r="677" spans="2:10" x14ac:dyDescent="0.15">
      <c r="B677"/>
      <c r="C677"/>
      <c r="D677"/>
      <c r="E677"/>
      <c r="F677" s="7"/>
      <c r="G677" s="7"/>
      <c r="H677" s="7"/>
      <c r="I677" s="7"/>
      <c r="J677" s="7"/>
    </row>
    <row r="678" spans="2:10" x14ac:dyDescent="0.15">
      <c r="B678"/>
      <c r="C678"/>
      <c r="D678"/>
      <c r="E678"/>
      <c r="F678" s="7"/>
      <c r="G678" s="7"/>
      <c r="H678" s="7"/>
      <c r="I678" s="7"/>
      <c r="J678" s="7"/>
    </row>
    <row r="679" spans="2:10" x14ac:dyDescent="0.15">
      <c r="B679"/>
      <c r="C679"/>
      <c r="D679"/>
      <c r="E679"/>
      <c r="F679" s="7"/>
      <c r="G679" s="7"/>
      <c r="H679" s="7"/>
      <c r="I679" s="7"/>
      <c r="J679" s="7"/>
    </row>
    <row r="680" spans="2:10" x14ac:dyDescent="0.15">
      <c r="B680"/>
      <c r="C680"/>
      <c r="D680"/>
      <c r="E680"/>
      <c r="F680" s="7"/>
      <c r="G680" s="7"/>
      <c r="H680" s="7"/>
      <c r="I680" s="7"/>
      <c r="J680" s="7"/>
    </row>
    <row r="681" spans="2:10" x14ac:dyDescent="0.15">
      <c r="B681"/>
      <c r="C681"/>
      <c r="D681"/>
      <c r="E681"/>
      <c r="F681" s="7"/>
      <c r="G681" s="7"/>
      <c r="H681" s="7"/>
      <c r="I681" s="7"/>
      <c r="J681" s="7"/>
    </row>
    <row r="682" spans="2:10" x14ac:dyDescent="0.15">
      <c r="B682"/>
      <c r="C682"/>
      <c r="D682"/>
      <c r="E682"/>
      <c r="F682" s="7"/>
      <c r="G682" s="7"/>
      <c r="H682" s="7"/>
      <c r="I682" s="7"/>
      <c r="J682" s="7"/>
    </row>
    <row r="683" spans="2:10" x14ac:dyDescent="0.15">
      <c r="B683"/>
      <c r="C683"/>
      <c r="D683"/>
      <c r="E683"/>
      <c r="F683" s="7"/>
      <c r="G683" s="7"/>
      <c r="H683" s="7"/>
      <c r="I683" s="7"/>
      <c r="J683" s="7"/>
    </row>
    <row r="684" spans="2:10" x14ac:dyDescent="0.15">
      <c r="B684"/>
      <c r="C684"/>
      <c r="D684"/>
      <c r="E684"/>
      <c r="F684" s="7"/>
      <c r="G684" s="7"/>
      <c r="H684" s="7"/>
      <c r="I684" s="7"/>
      <c r="J684" s="7"/>
    </row>
    <row r="685" spans="2:10" x14ac:dyDescent="0.15">
      <c r="B685"/>
      <c r="C685"/>
      <c r="D685"/>
      <c r="E685"/>
      <c r="F685" s="7"/>
      <c r="G685" s="7"/>
      <c r="H685" s="7"/>
      <c r="I685" s="7"/>
      <c r="J685" s="7"/>
    </row>
    <row r="686" spans="2:10" x14ac:dyDescent="0.15">
      <c r="B686"/>
      <c r="C686"/>
      <c r="D686"/>
      <c r="E686"/>
      <c r="F686" s="7"/>
      <c r="G686" s="7"/>
      <c r="H686" s="7"/>
      <c r="I686" s="7"/>
      <c r="J686" s="7"/>
    </row>
    <row r="687" spans="2:10" x14ac:dyDescent="0.15">
      <c r="B687"/>
      <c r="C687"/>
      <c r="D687"/>
      <c r="E687"/>
      <c r="F687" s="7"/>
      <c r="G687" s="7"/>
      <c r="H687" s="7"/>
      <c r="I687" s="7"/>
      <c r="J687" s="7"/>
    </row>
    <row r="688" spans="2:10" x14ac:dyDescent="0.15">
      <c r="B688"/>
      <c r="C688"/>
      <c r="D688"/>
      <c r="E688"/>
      <c r="F688" s="7"/>
      <c r="G688" s="7"/>
      <c r="H688" s="7"/>
      <c r="I688" s="7"/>
      <c r="J688" s="7"/>
    </row>
    <row r="689" spans="2:10" x14ac:dyDescent="0.15">
      <c r="B689"/>
      <c r="C689"/>
      <c r="D689"/>
      <c r="E689"/>
      <c r="F689" s="7"/>
      <c r="G689" s="7"/>
      <c r="H689" s="7"/>
      <c r="I689" s="7"/>
      <c r="J689" s="7"/>
    </row>
    <row r="690" spans="2:10" x14ac:dyDescent="0.15">
      <c r="B690"/>
      <c r="C690"/>
      <c r="D690"/>
      <c r="E690"/>
      <c r="F690" s="7"/>
      <c r="G690" s="7"/>
      <c r="H690" s="7"/>
      <c r="I690" s="7"/>
      <c r="J690" s="7"/>
    </row>
    <row r="691" spans="2:10" x14ac:dyDescent="0.15">
      <c r="B691"/>
      <c r="C691"/>
      <c r="D691"/>
      <c r="E691"/>
      <c r="F691" s="7"/>
      <c r="G691" s="7"/>
      <c r="H691" s="7"/>
      <c r="I691" s="7"/>
      <c r="J691" s="7"/>
    </row>
    <row r="692" spans="2:10" x14ac:dyDescent="0.15">
      <c r="B692"/>
      <c r="C692"/>
      <c r="D692"/>
      <c r="E692"/>
      <c r="F692" s="7"/>
      <c r="G692" s="7"/>
      <c r="H692" s="7"/>
      <c r="I692" s="7"/>
      <c r="J692" s="7"/>
    </row>
    <row r="693" spans="2:10" x14ac:dyDescent="0.15">
      <c r="B693"/>
      <c r="C693"/>
      <c r="D693"/>
      <c r="E693"/>
      <c r="F693" s="7"/>
      <c r="G693" s="7"/>
      <c r="H693" s="7"/>
      <c r="I693" s="7"/>
      <c r="J693" s="7"/>
    </row>
    <row r="694" spans="2:10" x14ac:dyDescent="0.15">
      <c r="B694"/>
      <c r="C694"/>
      <c r="D694"/>
      <c r="E694"/>
      <c r="F694" s="7"/>
      <c r="G694" s="7"/>
      <c r="H694" s="7"/>
      <c r="I694" s="7"/>
      <c r="J694" s="7"/>
    </row>
    <row r="695" spans="2:10" x14ac:dyDescent="0.15">
      <c r="B695"/>
      <c r="C695"/>
      <c r="D695"/>
      <c r="E695"/>
      <c r="F695" s="7"/>
      <c r="G695" s="7"/>
      <c r="H695" s="7"/>
      <c r="I695" s="7"/>
      <c r="J695" s="7"/>
    </row>
    <row r="696" spans="2:10" x14ac:dyDescent="0.15">
      <c r="B696"/>
      <c r="C696"/>
      <c r="D696"/>
      <c r="E696"/>
      <c r="F696" s="7"/>
      <c r="G696" s="7"/>
      <c r="H696" s="7"/>
      <c r="I696" s="7"/>
      <c r="J696" s="7"/>
    </row>
    <row r="697" spans="2:10" x14ac:dyDescent="0.15">
      <c r="B697"/>
      <c r="C697"/>
      <c r="D697"/>
      <c r="E697"/>
      <c r="F697" s="7"/>
      <c r="G697" s="7"/>
      <c r="H697" s="7"/>
      <c r="I697" s="7"/>
      <c r="J697" s="7"/>
    </row>
    <row r="698" spans="2:10" x14ac:dyDescent="0.15">
      <c r="B698"/>
      <c r="C698"/>
      <c r="D698"/>
      <c r="E698"/>
      <c r="F698" s="7"/>
      <c r="G698" s="7"/>
      <c r="H698" s="7"/>
      <c r="I698" s="7"/>
      <c r="J698" s="7"/>
    </row>
    <row r="699" spans="2:10" x14ac:dyDescent="0.15">
      <c r="B699"/>
      <c r="C699"/>
      <c r="D699"/>
      <c r="E699"/>
      <c r="F699" s="7"/>
      <c r="G699" s="7"/>
      <c r="H699" s="7"/>
      <c r="I699" s="7"/>
      <c r="J699" s="7"/>
    </row>
    <row r="700" spans="2:10" x14ac:dyDescent="0.15">
      <c r="B700"/>
      <c r="C700"/>
      <c r="D700"/>
      <c r="E700"/>
      <c r="F700" s="7"/>
      <c r="G700" s="7"/>
      <c r="H700" s="7"/>
      <c r="I700" s="7"/>
      <c r="J700" s="7"/>
    </row>
    <row r="701" spans="2:10" x14ac:dyDescent="0.15">
      <c r="B701"/>
      <c r="C701"/>
      <c r="D701"/>
      <c r="E701"/>
      <c r="F701" s="7"/>
      <c r="G701" s="7"/>
      <c r="H701" s="7"/>
      <c r="I701" s="7"/>
      <c r="J701" s="7"/>
    </row>
    <row r="702" spans="2:10" x14ac:dyDescent="0.15">
      <c r="B702"/>
      <c r="C702"/>
      <c r="D702"/>
      <c r="E702"/>
      <c r="F702" s="7"/>
      <c r="G702" s="7"/>
      <c r="H702" s="7"/>
      <c r="I702" s="7"/>
      <c r="J702" s="7"/>
    </row>
    <row r="703" spans="2:10" x14ac:dyDescent="0.15">
      <c r="B703"/>
      <c r="C703"/>
      <c r="D703"/>
      <c r="E703"/>
      <c r="F703" s="7"/>
      <c r="G703" s="7"/>
      <c r="H703" s="7"/>
      <c r="I703" s="7"/>
      <c r="J703" s="7"/>
    </row>
    <row r="704" spans="2:10" x14ac:dyDescent="0.15">
      <c r="B704"/>
      <c r="C704"/>
      <c r="D704"/>
      <c r="E704"/>
      <c r="F704" s="7"/>
      <c r="G704" s="7"/>
      <c r="H704" s="7"/>
      <c r="I704" s="7"/>
      <c r="J704" s="7"/>
    </row>
    <row r="705" spans="2:10" x14ac:dyDescent="0.15">
      <c r="B705"/>
      <c r="C705"/>
      <c r="D705"/>
      <c r="E705"/>
      <c r="F705" s="7"/>
      <c r="G705" s="7"/>
      <c r="H705" s="7"/>
      <c r="I705" s="7"/>
      <c r="J705" s="7"/>
    </row>
    <row r="706" spans="2:10" x14ac:dyDescent="0.15">
      <c r="B706"/>
      <c r="C706"/>
      <c r="D706"/>
      <c r="E706"/>
      <c r="F706" s="7"/>
      <c r="G706" s="7"/>
      <c r="H706" s="7"/>
      <c r="I706" s="7"/>
      <c r="J706" s="7"/>
    </row>
    <row r="707" spans="2:10" x14ac:dyDescent="0.15">
      <c r="B707"/>
      <c r="C707"/>
      <c r="D707"/>
      <c r="E707"/>
      <c r="F707" s="7"/>
      <c r="G707" s="7"/>
      <c r="H707" s="7"/>
      <c r="I707" s="7"/>
      <c r="J707" s="7"/>
    </row>
    <row r="708" spans="2:10" x14ac:dyDescent="0.15">
      <c r="B708"/>
      <c r="C708"/>
      <c r="D708"/>
      <c r="E708"/>
      <c r="F708" s="7"/>
      <c r="G708" s="7"/>
      <c r="H708" s="7"/>
      <c r="I708" s="7"/>
      <c r="J708" s="7"/>
    </row>
    <row r="709" spans="2:10" x14ac:dyDescent="0.15">
      <c r="B709"/>
      <c r="C709"/>
      <c r="D709"/>
      <c r="E709"/>
      <c r="F709" s="7"/>
      <c r="G709" s="7"/>
      <c r="H709" s="7"/>
      <c r="I709" s="7"/>
      <c r="J709" s="7"/>
    </row>
    <row r="710" spans="2:10" x14ac:dyDescent="0.15">
      <c r="B710"/>
      <c r="C710"/>
      <c r="D710"/>
      <c r="E710"/>
      <c r="F710" s="7"/>
      <c r="G710" s="7"/>
      <c r="H710" s="7"/>
      <c r="I710" s="7"/>
      <c r="J710" s="7"/>
    </row>
    <row r="711" spans="2:10" x14ac:dyDescent="0.15">
      <c r="B711"/>
      <c r="C711"/>
      <c r="D711"/>
      <c r="E711"/>
      <c r="F711" s="7"/>
      <c r="G711" s="7"/>
      <c r="H711" s="7"/>
      <c r="I711" s="7"/>
      <c r="J711" s="7"/>
    </row>
    <row r="712" spans="2:10" x14ac:dyDescent="0.15">
      <c r="B712"/>
      <c r="C712"/>
      <c r="D712"/>
      <c r="E712"/>
      <c r="F712" s="7"/>
      <c r="G712" s="7"/>
      <c r="H712" s="7"/>
      <c r="I712" s="7"/>
      <c r="J712" s="7"/>
    </row>
    <row r="713" spans="2:10" x14ac:dyDescent="0.15">
      <c r="B713"/>
      <c r="C713"/>
      <c r="D713"/>
      <c r="E713"/>
      <c r="F713" s="7"/>
      <c r="G713" s="7"/>
      <c r="H713" s="7"/>
      <c r="I713" s="7"/>
      <c r="J713" s="7"/>
    </row>
    <row r="714" spans="2:10" x14ac:dyDescent="0.15">
      <c r="B714"/>
      <c r="C714"/>
      <c r="D714"/>
      <c r="E714"/>
      <c r="F714" s="7"/>
      <c r="G714" s="7"/>
      <c r="H714" s="7"/>
      <c r="I714" s="7"/>
      <c r="J714" s="7"/>
    </row>
    <row r="715" spans="2:10" x14ac:dyDescent="0.15">
      <c r="B715"/>
      <c r="C715"/>
      <c r="D715"/>
      <c r="E715"/>
      <c r="F715" s="7"/>
      <c r="G715" s="7"/>
      <c r="H715" s="7"/>
      <c r="I715" s="7"/>
      <c r="J715" s="7"/>
    </row>
    <row r="716" spans="2:10" x14ac:dyDescent="0.15">
      <c r="B716"/>
      <c r="C716"/>
      <c r="D716"/>
      <c r="E716"/>
      <c r="F716" s="7"/>
      <c r="G716" s="7"/>
      <c r="H716" s="7"/>
      <c r="I716" s="7"/>
      <c r="J716" s="7"/>
    </row>
    <row r="717" spans="2:10" x14ac:dyDescent="0.15">
      <c r="B717"/>
      <c r="C717"/>
      <c r="D717"/>
      <c r="E717"/>
      <c r="F717" s="7"/>
      <c r="G717" s="7"/>
      <c r="H717" s="7"/>
      <c r="I717" s="7"/>
      <c r="J717" s="7"/>
    </row>
    <row r="718" spans="2:10" x14ac:dyDescent="0.15">
      <c r="B718"/>
      <c r="C718"/>
      <c r="D718"/>
      <c r="E718"/>
      <c r="F718" s="7"/>
      <c r="G718" s="7"/>
      <c r="H718" s="7"/>
      <c r="I718" s="7"/>
      <c r="J718" s="7"/>
    </row>
    <row r="719" spans="2:10" x14ac:dyDescent="0.15">
      <c r="B719"/>
      <c r="C719"/>
      <c r="D719"/>
      <c r="E719"/>
      <c r="F719" s="7"/>
      <c r="G719" s="7"/>
      <c r="H719" s="7"/>
      <c r="I719" s="7"/>
      <c r="J719" s="7"/>
    </row>
    <row r="720" spans="2:10" x14ac:dyDescent="0.15">
      <c r="B720"/>
      <c r="C720"/>
      <c r="D720"/>
      <c r="E720"/>
      <c r="F720" s="7"/>
      <c r="G720" s="7"/>
      <c r="H720" s="7"/>
      <c r="I720" s="7"/>
      <c r="J720" s="7"/>
    </row>
    <row r="721" spans="2:10" x14ac:dyDescent="0.15">
      <c r="B721"/>
      <c r="C721"/>
      <c r="D721"/>
      <c r="E721"/>
      <c r="F721" s="7"/>
      <c r="G721" s="7"/>
      <c r="H721" s="7"/>
      <c r="I721" s="7"/>
      <c r="J721" s="7"/>
    </row>
    <row r="722" spans="2:10" x14ac:dyDescent="0.15">
      <c r="B722"/>
      <c r="C722"/>
      <c r="D722"/>
      <c r="E722"/>
      <c r="F722" s="7"/>
      <c r="G722" s="7"/>
      <c r="H722" s="7"/>
      <c r="I722" s="7"/>
      <c r="J722" s="7"/>
    </row>
  </sheetData>
  <mergeCells count="2">
    <mergeCell ref="C1:C2"/>
    <mergeCell ref="F1:J1"/>
  </mergeCells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101"/>
  <sheetViews>
    <sheetView workbookViewId="0">
      <selection activeCell="F2" sqref="F2"/>
    </sheetView>
  </sheetViews>
  <sheetFormatPr defaultRowHeight="13.5" x14ac:dyDescent="0.15"/>
  <sheetData>
    <row r="1" spans="3:10" x14ac:dyDescent="0.15">
      <c r="D1" t="s">
        <v>0</v>
      </c>
      <c r="E1" t="s">
        <v>1</v>
      </c>
      <c r="F1" t="s">
        <v>2</v>
      </c>
      <c r="G1">
        <v>4</v>
      </c>
      <c r="H1">
        <v>5</v>
      </c>
      <c r="I1">
        <v>6</v>
      </c>
      <c r="J1">
        <v>7</v>
      </c>
    </row>
    <row r="2" spans="3:10" x14ac:dyDescent="0.15">
      <c r="C2">
        <v>1</v>
      </c>
      <c r="D2">
        <f>0.97*(1.7*(C2+1))^0.5</f>
        <v>1.7885916247148201</v>
      </c>
      <c r="E2">
        <f>4*3^0.5*D2/3</f>
        <v>4.1305754239976453</v>
      </c>
      <c r="F2">
        <f>(8+16*C2)/E2^3</f>
        <v>0.34054897028263337</v>
      </c>
      <c r="G2">
        <f>$F2*G$1</f>
        <v>1.3621958811305335</v>
      </c>
      <c r="H2">
        <f t="shared" ref="H2:J17" si="0">$F2*H$1</f>
        <v>1.7027448514131669</v>
      </c>
      <c r="I2">
        <f t="shared" si="0"/>
        <v>2.0432938216958001</v>
      </c>
      <c r="J2">
        <f t="shared" si="0"/>
        <v>2.3838427919784335</v>
      </c>
    </row>
    <row r="3" spans="3:10" x14ac:dyDescent="0.15">
      <c r="C3">
        <v>2</v>
      </c>
      <c r="D3">
        <f t="shared" ref="D3:D66" si="1">0.97*(1.7*(C3+1))^0.5</f>
        <v>2.1905684193834256</v>
      </c>
      <c r="E3">
        <f t="shared" ref="E3:E66" si="2">4*3^0.5*D3/3</f>
        <v>5.0589010664372553</v>
      </c>
      <c r="F3">
        <f t="shared" ref="F3:F66" si="3">(8+16*C3)/E3^3</f>
        <v>0.30895229986025313</v>
      </c>
      <c r="G3">
        <f>$F3*G$1</f>
        <v>1.2358091994410125</v>
      </c>
      <c r="H3">
        <f t="shared" si="0"/>
        <v>1.5447614993012657</v>
      </c>
      <c r="I3">
        <f t="shared" si="0"/>
        <v>1.8537137991615187</v>
      </c>
      <c r="J3">
        <f t="shared" si="0"/>
        <v>2.1626660990217719</v>
      </c>
    </row>
    <row r="4" spans="3:10" x14ac:dyDescent="0.15">
      <c r="C4">
        <v>3</v>
      </c>
      <c r="D4">
        <f t="shared" si="1"/>
        <v>2.5294505332186277</v>
      </c>
      <c r="E4">
        <f t="shared" si="2"/>
        <v>5.8415157850224686</v>
      </c>
      <c r="F4">
        <f t="shared" si="3"/>
        <v>0.28093856724843697</v>
      </c>
      <c r="G4">
        <f t="shared" ref="G4:J34" si="4">$F4*G$1</f>
        <v>1.1237542689937479</v>
      </c>
      <c r="H4">
        <f t="shared" si="0"/>
        <v>1.4046928362421849</v>
      </c>
      <c r="I4">
        <f t="shared" si="0"/>
        <v>1.6856314034906217</v>
      </c>
      <c r="J4">
        <f t="shared" si="0"/>
        <v>1.9665699707390587</v>
      </c>
    </row>
    <row r="5" spans="3:10" x14ac:dyDescent="0.15">
      <c r="C5">
        <v>4</v>
      </c>
      <c r="D5">
        <f t="shared" si="1"/>
        <v>2.8280116689999706</v>
      </c>
      <c r="E5">
        <f t="shared" si="2"/>
        <v>6.5310131934741422</v>
      </c>
      <c r="F5">
        <f t="shared" si="3"/>
        <v>0.25845849622034811</v>
      </c>
      <c r="G5">
        <f t="shared" si="4"/>
        <v>1.0338339848813924</v>
      </c>
      <c r="H5">
        <f t="shared" si="0"/>
        <v>1.2922924811017404</v>
      </c>
      <c r="I5">
        <f t="shared" si="0"/>
        <v>1.5507509773220887</v>
      </c>
      <c r="J5">
        <f t="shared" si="0"/>
        <v>1.8092094735424369</v>
      </c>
    </row>
    <row r="6" spans="3:10" x14ac:dyDescent="0.15">
      <c r="C6">
        <v>5</v>
      </c>
      <c r="D6">
        <f t="shared" si="1"/>
        <v>3.0979315679982342</v>
      </c>
      <c r="E6">
        <f t="shared" si="2"/>
        <v>7.1543664988592797</v>
      </c>
      <c r="F6">
        <f t="shared" si="3"/>
        <v>0.24030849292380113</v>
      </c>
      <c r="G6">
        <f t="shared" si="4"/>
        <v>0.96123397169520453</v>
      </c>
      <c r="H6">
        <f t="shared" si="0"/>
        <v>1.2015424646190056</v>
      </c>
      <c r="I6">
        <f t="shared" si="0"/>
        <v>1.4418509575428069</v>
      </c>
      <c r="J6">
        <f t="shared" si="0"/>
        <v>1.682159450466608</v>
      </c>
    </row>
    <row r="7" spans="3:10" x14ac:dyDescent="0.15">
      <c r="C7">
        <v>6</v>
      </c>
      <c r="D7">
        <f t="shared" si="1"/>
        <v>3.3461485322681059</v>
      </c>
      <c r="E7">
        <f t="shared" si="2"/>
        <v>7.7275990234138483</v>
      </c>
      <c r="F7">
        <f t="shared" si="3"/>
        <v>0.22537181514029339</v>
      </c>
      <c r="G7">
        <f t="shared" si="4"/>
        <v>0.90148726056117356</v>
      </c>
      <c r="H7">
        <f t="shared" si="0"/>
        <v>1.1268590757014669</v>
      </c>
      <c r="I7">
        <f t="shared" si="0"/>
        <v>1.3522308908417604</v>
      </c>
      <c r="J7">
        <f t="shared" si="0"/>
        <v>1.5776027059820537</v>
      </c>
    </row>
    <row r="8" spans="3:10" x14ac:dyDescent="0.15">
      <c r="C8">
        <v>7</v>
      </c>
      <c r="D8">
        <f t="shared" si="1"/>
        <v>3.5771832494296403</v>
      </c>
      <c r="E8">
        <f t="shared" si="2"/>
        <v>8.2611508479952906</v>
      </c>
      <c r="F8">
        <f t="shared" si="3"/>
        <v>0.21284310642664586</v>
      </c>
      <c r="G8" s="1">
        <f t="shared" si="4"/>
        <v>0.85137242570658345</v>
      </c>
      <c r="H8">
        <f t="shared" si="0"/>
        <v>1.0642155321332294</v>
      </c>
      <c r="I8">
        <f t="shared" si="0"/>
        <v>1.2770586385598752</v>
      </c>
      <c r="J8">
        <f t="shared" si="0"/>
        <v>1.4899017449865211</v>
      </c>
    </row>
    <row r="9" spans="3:10" x14ac:dyDescent="0.15">
      <c r="C9">
        <v>8</v>
      </c>
      <c r="D9">
        <f t="shared" si="1"/>
        <v>3.7941757998279413</v>
      </c>
      <c r="E9">
        <f t="shared" si="2"/>
        <v>8.7622736775337007</v>
      </c>
      <c r="F9">
        <f t="shared" si="3"/>
        <v>0.20215685262321403</v>
      </c>
      <c r="G9">
        <f t="shared" si="4"/>
        <v>0.80862741049285614</v>
      </c>
      <c r="H9">
        <f t="shared" si="0"/>
        <v>1.0107842631160702</v>
      </c>
      <c r="I9">
        <f t="shared" si="0"/>
        <v>1.2129411157392842</v>
      </c>
      <c r="J9">
        <f t="shared" si="0"/>
        <v>1.4150979683624982</v>
      </c>
    </row>
    <row r="10" spans="3:10" x14ac:dyDescent="0.15">
      <c r="C10">
        <v>9</v>
      </c>
      <c r="D10">
        <f t="shared" si="1"/>
        <v>3.9994124568491305</v>
      </c>
      <c r="E10">
        <f t="shared" si="2"/>
        <v>9.2362474342487513</v>
      </c>
      <c r="F10">
        <f t="shared" si="3"/>
        <v>0.19291096396227939</v>
      </c>
      <c r="G10">
        <f t="shared" si="4"/>
        <v>0.77164385584911754</v>
      </c>
      <c r="H10">
        <f t="shared" si="0"/>
        <v>0.9645548198113969</v>
      </c>
      <c r="I10">
        <f t="shared" si="0"/>
        <v>1.1574657837736764</v>
      </c>
      <c r="J10">
        <f t="shared" si="0"/>
        <v>1.3503767477359556</v>
      </c>
    </row>
    <row r="11" spans="3:10" x14ac:dyDescent="0.15">
      <c r="C11">
        <v>10</v>
      </c>
      <c r="D11">
        <f t="shared" si="1"/>
        <v>4.194619172225293</v>
      </c>
      <c r="E11">
        <f t="shared" si="2"/>
        <v>9.6870580329289524</v>
      </c>
      <c r="F11">
        <f t="shared" si="3"/>
        <v>0.18481345124689461</v>
      </c>
      <c r="G11">
        <f t="shared" si="4"/>
        <v>0.73925380498757842</v>
      </c>
      <c r="H11">
        <f t="shared" si="0"/>
        <v>0.92406725623447306</v>
      </c>
      <c r="I11">
        <f t="shared" si="0"/>
        <v>1.1088807074813676</v>
      </c>
      <c r="J11">
        <f t="shared" si="0"/>
        <v>1.2936941587282622</v>
      </c>
    </row>
    <row r="12" spans="3:10" x14ac:dyDescent="0.15">
      <c r="C12">
        <v>11</v>
      </c>
      <c r="D12">
        <f t="shared" si="1"/>
        <v>4.3811368387668512</v>
      </c>
      <c r="E12">
        <f t="shared" si="2"/>
        <v>10.117802132874511</v>
      </c>
      <c r="F12">
        <f t="shared" si="3"/>
        <v>0.17764757241964554</v>
      </c>
      <c r="G12">
        <f t="shared" si="4"/>
        <v>0.71059028967858218</v>
      </c>
      <c r="H12">
        <f t="shared" si="0"/>
        <v>0.88823786209822775</v>
      </c>
      <c r="I12">
        <f t="shared" si="0"/>
        <v>1.0658854345178732</v>
      </c>
      <c r="J12">
        <f t="shared" si="0"/>
        <v>1.2435330069375188</v>
      </c>
    </row>
    <row r="13" spans="3:10" x14ac:dyDescent="0.15">
      <c r="C13">
        <v>12</v>
      </c>
      <c r="D13">
        <f t="shared" si="1"/>
        <v>4.5600317981347454</v>
      </c>
      <c r="E13">
        <f t="shared" si="2"/>
        <v>10.530942344665393</v>
      </c>
      <c r="F13">
        <f t="shared" si="3"/>
        <v>0.17124909712081626</v>
      </c>
      <c r="G13">
        <f t="shared" si="4"/>
        <v>0.68499638848326505</v>
      </c>
      <c r="H13" s="1">
        <f t="shared" si="0"/>
        <v>0.85624548560408131</v>
      </c>
      <c r="I13">
        <f t="shared" si="0"/>
        <v>1.0274945827248976</v>
      </c>
      <c r="J13">
        <f t="shared" si="0"/>
        <v>1.1987436798457138</v>
      </c>
    </row>
    <row r="14" spans="3:10" x14ac:dyDescent="0.15">
      <c r="C14">
        <v>13</v>
      </c>
      <c r="D14">
        <f t="shared" si="1"/>
        <v>4.7321686360483817</v>
      </c>
      <c r="E14">
        <f t="shared" si="2"/>
        <v>10.928475343492948</v>
      </c>
      <c r="F14">
        <f t="shared" si="3"/>
        <v>0.16549124411148489</v>
      </c>
      <c r="G14">
        <f t="shared" si="4"/>
        <v>0.66196497644593955</v>
      </c>
      <c r="H14">
        <f t="shared" si="0"/>
        <v>0.8274562205574244</v>
      </c>
      <c r="I14">
        <f t="shared" si="0"/>
        <v>0.99294746466890937</v>
      </c>
      <c r="J14">
        <f t="shared" si="0"/>
        <v>1.1584387087803942</v>
      </c>
    </row>
    <row r="15" spans="3:10" x14ac:dyDescent="0.15">
      <c r="C15">
        <v>14</v>
      </c>
      <c r="D15">
        <f t="shared" si="1"/>
        <v>4.8982598951056078</v>
      </c>
      <c r="E15">
        <f t="shared" si="2"/>
        <v>11.312046675999882</v>
      </c>
      <c r="F15">
        <f t="shared" si="3"/>
        <v>0.16027449587584255</v>
      </c>
      <c r="G15">
        <f t="shared" si="4"/>
        <v>0.64109798350337022</v>
      </c>
      <c r="H15">
        <f t="shared" si="0"/>
        <v>0.80137247937921274</v>
      </c>
      <c r="I15">
        <f t="shared" si="0"/>
        <v>0.96164697525505538</v>
      </c>
      <c r="J15">
        <f t="shared" si="0"/>
        <v>1.1219214711308978</v>
      </c>
    </row>
    <row r="16" spans="3:10" x14ac:dyDescent="0.15">
      <c r="C16">
        <v>15</v>
      </c>
      <c r="D16">
        <f t="shared" si="1"/>
        <v>5.0589010664372553</v>
      </c>
      <c r="E16">
        <f t="shared" si="2"/>
        <v>11.683031570044937</v>
      </c>
      <c r="F16">
        <f t="shared" si="3"/>
        <v>0.15551956401252762</v>
      </c>
      <c r="G16">
        <f t="shared" si="4"/>
        <v>0.62207825605011047</v>
      </c>
      <c r="H16">
        <f t="shared" si="0"/>
        <v>0.77759782006263811</v>
      </c>
      <c r="I16">
        <f t="shared" si="0"/>
        <v>0.93311738407516565</v>
      </c>
      <c r="J16">
        <f t="shared" si="0"/>
        <v>1.0886369480876934</v>
      </c>
    </row>
    <row r="17" spans="3:10" x14ac:dyDescent="0.15">
      <c r="C17">
        <v>16</v>
      </c>
      <c r="D17">
        <f t="shared" si="1"/>
        <v>5.2145958616176573</v>
      </c>
      <c r="E17">
        <f t="shared" si="2"/>
        <v>12.04259329768025</v>
      </c>
      <c r="F17">
        <f t="shared" si="3"/>
        <v>0.15116243113583741</v>
      </c>
      <c r="G17">
        <f t="shared" si="4"/>
        <v>0.60464972454334964</v>
      </c>
      <c r="H17">
        <f t="shared" si="0"/>
        <v>0.75581215567918703</v>
      </c>
      <c r="I17">
        <f t="shared" si="0"/>
        <v>0.90697458681502452</v>
      </c>
      <c r="J17">
        <f t="shared" si="0"/>
        <v>1.0581370179508618</v>
      </c>
    </row>
    <row r="18" spans="3:10" x14ac:dyDescent="0.15">
      <c r="C18">
        <v>17</v>
      </c>
      <c r="D18">
        <f t="shared" si="1"/>
        <v>5.36577487414446</v>
      </c>
      <c r="E18">
        <f t="shared" si="2"/>
        <v>12.391726271992937</v>
      </c>
      <c r="F18">
        <f t="shared" si="3"/>
        <v>0.14715078962829833</v>
      </c>
      <c r="G18">
        <f t="shared" si="4"/>
        <v>0.58860315851319334</v>
      </c>
      <c r="H18">
        <f t="shared" si="4"/>
        <v>0.73575394814149164</v>
      </c>
      <c r="I18">
        <f t="shared" si="4"/>
        <v>0.88290473776979006</v>
      </c>
      <c r="J18">
        <f t="shared" si="4"/>
        <v>1.0300555273980883</v>
      </c>
    </row>
    <row r="19" spans="3:10" x14ac:dyDescent="0.15">
      <c r="C19">
        <v>18</v>
      </c>
      <c r="D19">
        <f t="shared" si="1"/>
        <v>5.5128096284925352</v>
      </c>
      <c r="E19">
        <f t="shared" si="2"/>
        <v>12.731288492005303</v>
      </c>
      <c r="F19">
        <f t="shared" si="3"/>
        <v>0.1434414388198641</v>
      </c>
      <c r="G19">
        <f t="shared" si="4"/>
        <v>0.57376575527945639</v>
      </c>
      <c r="H19">
        <f t="shared" si="4"/>
        <v>0.71720719409932054</v>
      </c>
      <c r="I19" s="1">
        <f t="shared" si="4"/>
        <v>0.86064863291918459</v>
      </c>
      <c r="J19">
        <f t="shared" si="4"/>
        <v>1.0040900717390486</v>
      </c>
    </row>
    <row r="20" spans="3:10" x14ac:dyDescent="0.15">
      <c r="C20">
        <v>19</v>
      </c>
      <c r="D20">
        <f t="shared" si="1"/>
        <v>5.6560233379999412</v>
      </c>
      <c r="E20">
        <f t="shared" si="2"/>
        <v>13.062026386948284</v>
      </c>
      <c r="F20">
        <f t="shared" si="3"/>
        <v>0.13999835211935521</v>
      </c>
      <c r="G20">
        <f t="shared" si="4"/>
        <v>0.55999340847742085</v>
      </c>
      <c r="H20">
        <f t="shared" si="4"/>
        <v>0.69999176059677604</v>
      </c>
      <c r="I20">
        <f t="shared" si="4"/>
        <v>0.83999011271613133</v>
      </c>
      <c r="J20">
        <f t="shared" si="4"/>
        <v>0.97998846483548652</v>
      </c>
    </row>
    <row r="21" spans="3:10" x14ac:dyDescent="0.15">
      <c r="C21">
        <v>20</v>
      </c>
      <c r="D21">
        <f t="shared" si="1"/>
        <v>5.7956992675603862</v>
      </c>
      <c r="E21">
        <f t="shared" si="2"/>
        <v>13.384594129072424</v>
      </c>
      <c r="F21">
        <f t="shared" si="3"/>
        <v>0.13679122060766977</v>
      </c>
      <c r="G21">
        <f t="shared" si="4"/>
        <v>0.54716488243067907</v>
      </c>
      <c r="H21">
        <f t="shared" si="4"/>
        <v>0.68395610303834886</v>
      </c>
      <c r="I21">
        <f t="shared" si="4"/>
        <v>0.82074732364601855</v>
      </c>
      <c r="J21">
        <f t="shared" si="4"/>
        <v>0.95753854425368834</v>
      </c>
    </row>
    <row r="22" spans="3:10" x14ac:dyDescent="0.15">
      <c r="C22">
        <v>21</v>
      </c>
      <c r="D22">
        <f t="shared" si="1"/>
        <v>5.9320873223512134</v>
      </c>
      <c r="E22">
        <f t="shared" si="2"/>
        <v>13.699568849663358</v>
      </c>
      <c r="F22">
        <f t="shared" si="3"/>
        <v>0.13379434093191075</v>
      </c>
      <c r="G22">
        <f t="shared" si="4"/>
        <v>0.53517736372764302</v>
      </c>
      <c r="H22">
        <f t="shared" si="4"/>
        <v>0.6689717046595538</v>
      </c>
      <c r="I22">
        <f t="shared" si="4"/>
        <v>0.80276604559146447</v>
      </c>
      <c r="J22">
        <f t="shared" si="4"/>
        <v>0.93656038652337525</v>
      </c>
    </row>
    <row r="23" spans="3:10" x14ac:dyDescent="0.15">
      <c r="C23">
        <v>22</v>
      </c>
      <c r="D23">
        <f t="shared" si="1"/>
        <v>6.0654093019350315</v>
      </c>
      <c r="E23">
        <f t="shared" si="2"/>
        <v>14.0074627728698</v>
      </c>
      <c r="F23">
        <f t="shared" si="3"/>
        <v>0.13098575568262794</v>
      </c>
      <c r="G23">
        <f t="shared" si="4"/>
        <v>0.52394302273051174</v>
      </c>
      <c r="H23">
        <f t="shared" si="4"/>
        <v>0.65492877841313968</v>
      </c>
      <c r="I23">
        <f t="shared" si="4"/>
        <v>0.78591453409576761</v>
      </c>
      <c r="J23">
        <f t="shared" si="4"/>
        <v>0.91690028977839555</v>
      </c>
    </row>
    <row r="24" spans="3:10" x14ac:dyDescent="0.15">
      <c r="C24">
        <v>23</v>
      </c>
      <c r="D24">
        <f t="shared" si="1"/>
        <v>6.1958631359964684</v>
      </c>
      <c r="E24">
        <f t="shared" si="2"/>
        <v>14.308732997718559</v>
      </c>
      <c r="F24">
        <f t="shared" si="3"/>
        <v>0.12834658144793926</v>
      </c>
      <c r="G24">
        <f t="shared" si="4"/>
        <v>0.51338632579175703</v>
      </c>
      <c r="H24">
        <f t="shared" si="4"/>
        <v>0.64173290723969623</v>
      </c>
      <c r="I24">
        <f t="shared" si="4"/>
        <v>0.77007948868763554</v>
      </c>
      <c r="J24">
        <f t="shared" si="4"/>
        <v>0.89842607013557485</v>
      </c>
    </row>
    <row r="25" spans="3:10" x14ac:dyDescent="0.15">
      <c r="C25">
        <v>24</v>
      </c>
      <c r="D25">
        <f t="shared" si="1"/>
        <v>6.3236263330465698</v>
      </c>
      <c r="E25">
        <f t="shared" si="2"/>
        <v>14.603789462556172</v>
      </c>
      <c r="F25">
        <f t="shared" si="3"/>
        <v>0.12586047812729975</v>
      </c>
      <c r="G25">
        <f t="shared" si="4"/>
        <v>0.50344191250919901</v>
      </c>
      <c r="H25">
        <f t="shared" si="4"/>
        <v>0.62930239063649873</v>
      </c>
      <c r="I25">
        <f t="shared" si="4"/>
        <v>0.75516286876379857</v>
      </c>
      <c r="J25">
        <f t="shared" si="4"/>
        <v>0.88102334689109829</v>
      </c>
    </row>
    <row r="26" spans="3:10" x14ac:dyDescent="0.15">
      <c r="C26">
        <v>25</v>
      </c>
      <c r="D26">
        <f t="shared" si="1"/>
        <v>6.448858813774728</v>
      </c>
      <c r="E26">
        <f t="shared" si="2"/>
        <v>14.893001488394917</v>
      </c>
      <c r="F26">
        <f t="shared" si="3"/>
        <v>0.12351322580312694</v>
      </c>
      <c r="G26">
        <f t="shared" si="4"/>
        <v>0.49405290321250778</v>
      </c>
      <c r="H26">
        <f t="shared" si="4"/>
        <v>0.61756612901563468</v>
      </c>
      <c r="I26">
        <f t="shared" si="4"/>
        <v>0.74107935481876164</v>
      </c>
      <c r="J26">
        <f t="shared" si="4"/>
        <v>0.8645925806218886</v>
      </c>
    </row>
    <row r="27" spans="3:10" x14ac:dyDescent="0.15">
      <c r="C27">
        <v>26</v>
      </c>
      <c r="D27">
        <f t="shared" si="1"/>
        <v>6.5717052581502768</v>
      </c>
      <c r="E27">
        <f t="shared" si="2"/>
        <v>15.176703199311765</v>
      </c>
      <c r="F27">
        <f t="shared" si="3"/>
        <v>0.12129238438958086</v>
      </c>
      <c r="G27">
        <f t="shared" si="4"/>
        <v>0.48516953755832343</v>
      </c>
      <c r="H27">
        <f t="shared" si="4"/>
        <v>0.60646192194790427</v>
      </c>
      <c r="I27">
        <f t="shared" si="4"/>
        <v>0.72775430633748517</v>
      </c>
      <c r="J27" s="1">
        <f t="shared" si="4"/>
        <v>0.84904669072706596</v>
      </c>
    </row>
    <row r="28" spans="3:10" x14ac:dyDescent="0.15">
      <c r="C28">
        <v>27</v>
      </c>
      <c r="D28">
        <f t="shared" si="1"/>
        <v>6.6922970645362119</v>
      </c>
      <c r="E28">
        <f t="shared" si="2"/>
        <v>15.455198046827697</v>
      </c>
      <c r="F28">
        <f t="shared" si="3"/>
        <v>0.11918701762227055</v>
      </c>
      <c r="G28">
        <f t="shared" si="4"/>
        <v>0.47674807048908219</v>
      </c>
      <c r="H28">
        <f t="shared" si="4"/>
        <v>0.59593508811135276</v>
      </c>
      <c r="I28">
        <f t="shared" si="4"/>
        <v>0.71512210573362323</v>
      </c>
      <c r="J28">
        <f t="shared" si="4"/>
        <v>0.8343091233558938</v>
      </c>
    </row>
    <row r="29" spans="3:10" x14ac:dyDescent="0.15">
      <c r="C29">
        <v>28</v>
      </c>
      <c r="D29">
        <f t="shared" si="1"/>
        <v>6.8107539964382795</v>
      </c>
      <c r="E29">
        <f t="shared" si="2"/>
        <v>15.728762612911838</v>
      </c>
      <c r="F29">
        <f t="shared" si="3"/>
        <v>0.11718746752212701</v>
      </c>
      <c r="G29">
        <f t="shared" si="4"/>
        <v>0.46874987008850805</v>
      </c>
      <c r="H29">
        <f t="shared" si="4"/>
        <v>0.58593733761063505</v>
      </c>
      <c r="I29">
        <f t="shared" si="4"/>
        <v>0.7031248051327621</v>
      </c>
      <c r="J29">
        <f t="shared" si="4"/>
        <v>0.82031227265488904</v>
      </c>
    </row>
    <row r="30" spans="3:10" x14ac:dyDescent="0.15">
      <c r="C30">
        <v>29</v>
      </c>
      <c r="D30">
        <f t="shared" si="1"/>
        <v>6.9271855756865648</v>
      </c>
      <c r="E30">
        <f t="shared" si="2"/>
        <v>15.997649827396522</v>
      </c>
      <c r="F30">
        <f t="shared" si="3"/>
        <v>0.11528516879687506</v>
      </c>
      <c r="G30">
        <f t="shared" si="4"/>
        <v>0.46114067518750024</v>
      </c>
      <c r="H30">
        <f t="shared" si="4"/>
        <v>0.57642584398437524</v>
      </c>
      <c r="I30">
        <f t="shared" si="4"/>
        <v>0.69171101278125036</v>
      </c>
      <c r="J30">
        <f t="shared" si="4"/>
        <v>0.80699618157812547</v>
      </c>
    </row>
    <row r="31" spans="3:10" x14ac:dyDescent="0.15">
      <c r="C31">
        <v>30</v>
      </c>
      <c r="D31">
        <f t="shared" si="1"/>
        <v>7.0416922681980356</v>
      </c>
      <c r="E31">
        <f t="shared" si="2"/>
        <v>16.262091706378566</v>
      </c>
      <c r="F31">
        <f t="shared" si="3"/>
        <v>0.1134724950974792</v>
      </c>
      <c r="G31">
        <f t="shared" si="4"/>
        <v>0.45388998038991679</v>
      </c>
      <c r="H31">
        <f t="shared" si="4"/>
        <v>0.56736247548739605</v>
      </c>
      <c r="I31">
        <f t="shared" si="4"/>
        <v>0.68083497058487519</v>
      </c>
      <c r="J31">
        <f t="shared" si="4"/>
        <v>0.79430746568235433</v>
      </c>
    </row>
    <row r="32" spans="3:10" x14ac:dyDescent="0.15">
      <c r="C32">
        <v>31</v>
      </c>
      <c r="D32">
        <f t="shared" si="1"/>
        <v>7.1543664988592806</v>
      </c>
      <c r="E32">
        <f t="shared" si="2"/>
        <v>16.522301695990581</v>
      </c>
      <c r="F32">
        <f t="shared" si="3"/>
        <v>0.11174263087398907</v>
      </c>
      <c r="G32">
        <f t="shared" si="4"/>
        <v>0.44697052349595628</v>
      </c>
      <c r="H32">
        <f t="shared" si="4"/>
        <v>0.5587131543699454</v>
      </c>
      <c r="I32">
        <f t="shared" si="4"/>
        <v>0.67045578524393445</v>
      </c>
      <c r="J32">
        <f t="shared" si="4"/>
        <v>0.78219841611792351</v>
      </c>
    </row>
    <row r="33" spans="3:10" x14ac:dyDescent="0.15">
      <c r="C33">
        <v>32</v>
      </c>
      <c r="D33">
        <f t="shared" si="1"/>
        <v>7.2652935246967143</v>
      </c>
      <c r="E33">
        <f t="shared" si="2"/>
        <v>16.778476688901172</v>
      </c>
      <c r="F33">
        <f t="shared" si="3"/>
        <v>0.11008946394875865</v>
      </c>
      <c r="G33">
        <f t="shared" si="4"/>
        <v>0.44035785579503461</v>
      </c>
      <c r="H33">
        <f t="shared" si="4"/>
        <v>0.55044731974379324</v>
      </c>
      <c r="I33">
        <f t="shared" si="4"/>
        <v>0.66053678369255198</v>
      </c>
      <c r="J33">
        <f t="shared" si="4"/>
        <v>0.7706262476413106</v>
      </c>
    </row>
    <row r="34" spans="3:10" x14ac:dyDescent="0.15">
      <c r="C34">
        <v>33</v>
      </c>
      <c r="D34">
        <f t="shared" si="1"/>
        <v>7.374552189794306</v>
      </c>
      <c r="E34">
        <f t="shared" si="2"/>
        <v>17.030798767722747</v>
      </c>
      <c r="F34">
        <f t="shared" si="3"/>
        <v>0.10850749496704958</v>
      </c>
      <c r="G34">
        <f t="shared" si="4"/>
        <v>0.4340299798681983</v>
      </c>
      <c r="H34">
        <f t="shared" si="4"/>
        <v>0.54253747483524783</v>
      </c>
      <c r="I34">
        <f t="shared" si="4"/>
        <v>0.65104496980229742</v>
      </c>
      <c r="J34">
        <f t="shared" si="4"/>
        <v>0.75955246476934701</v>
      </c>
    </row>
    <row r="35" spans="3:10" x14ac:dyDescent="0.15">
      <c r="C35">
        <v>34</v>
      </c>
      <c r="D35">
        <f t="shared" si="1"/>
        <v>7.4822155809626327</v>
      </c>
      <c r="E35">
        <f t="shared" si="2"/>
        <v>17.279436719214353</v>
      </c>
      <c r="F35">
        <f t="shared" si="3"/>
        <v>0.10699176068236509</v>
      </c>
      <c r="G35">
        <f t="shared" ref="G35:J66" si="5">$F35*G$1</f>
        <v>0.42796704272946035</v>
      </c>
      <c r="H35">
        <f t="shared" si="5"/>
        <v>0.53495880341182545</v>
      </c>
      <c r="I35">
        <f t="shared" si="5"/>
        <v>0.64195056409419049</v>
      </c>
      <c r="J35">
        <f t="shared" si="5"/>
        <v>0.74894232477655565</v>
      </c>
    </row>
    <row r="36" spans="3:10" x14ac:dyDescent="0.15">
      <c r="C36">
        <v>35</v>
      </c>
      <c r="D36">
        <f t="shared" si="1"/>
        <v>7.5883515996558826</v>
      </c>
      <c r="E36">
        <f t="shared" si="2"/>
        <v>17.524547355067401</v>
      </c>
      <c r="F36">
        <f t="shared" si="3"/>
        <v>0.1055377686488838</v>
      </c>
      <c r="G36">
        <f t="shared" si="5"/>
        <v>0.42215107459553519</v>
      </c>
      <c r="H36">
        <f t="shared" si="5"/>
        <v>0.527688843244419</v>
      </c>
      <c r="I36">
        <f t="shared" si="5"/>
        <v>0.63322661189330276</v>
      </c>
      <c r="J36">
        <f t="shared" si="5"/>
        <v>0.73876438054218663</v>
      </c>
    </row>
    <row r="37" spans="3:10" x14ac:dyDescent="0.15">
      <c r="C37">
        <v>36</v>
      </c>
      <c r="D37">
        <f t="shared" si="1"/>
        <v>7.69302346285256</v>
      </c>
      <c r="E37">
        <f t="shared" si="2"/>
        <v>17.766276668640128</v>
      </c>
      <c r="F37">
        <f t="shared" si="3"/>
        <v>0.10414144137137481</v>
      </c>
      <c r="G37">
        <f t="shared" si="5"/>
        <v>0.41656576548549923</v>
      </c>
      <c r="H37">
        <f t="shared" si="5"/>
        <v>0.52070720685687399</v>
      </c>
      <c r="I37">
        <f t="shared" si="5"/>
        <v>0.62484864822824882</v>
      </c>
      <c r="J37">
        <f t="shared" si="5"/>
        <v>0.72899008959962364</v>
      </c>
    </row>
    <row r="38" spans="3:10" x14ac:dyDescent="0.15">
      <c r="C38">
        <v>37</v>
      </c>
      <c r="D38">
        <f t="shared" si="1"/>
        <v>7.796290143395125</v>
      </c>
      <c r="E38">
        <f t="shared" si="2"/>
        <v>18.004760851878405</v>
      </c>
      <c r="F38">
        <f t="shared" si="3"/>
        <v>0.10279906833717693</v>
      </c>
      <c r="G38">
        <f t="shared" si="5"/>
        <v>0.41119627334870773</v>
      </c>
      <c r="H38">
        <f t="shared" si="5"/>
        <v>0.51399534168588468</v>
      </c>
      <c r="I38">
        <f t="shared" si="5"/>
        <v>0.61679441002306157</v>
      </c>
      <c r="J38">
        <f t="shared" si="5"/>
        <v>0.71959347836023857</v>
      </c>
    </row>
    <row r="39" spans="3:10" x14ac:dyDescent="0.15">
      <c r="C39">
        <v>38</v>
      </c>
      <c r="D39">
        <f t="shared" si="1"/>
        <v>7.898206758499045</v>
      </c>
      <c r="E39">
        <f t="shared" si="2"/>
        <v>18.240127192538981</v>
      </c>
      <c r="F39">
        <f t="shared" si="3"/>
        <v>0.1015072646497485</v>
      </c>
      <c r="G39">
        <f t="shared" si="5"/>
        <v>0.40602905859899402</v>
      </c>
      <c r="H39">
        <f t="shared" si="5"/>
        <v>0.50753632324874254</v>
      </c>
      <c r="I39">
        <f t="shared" si="5"/>
        <v>0.609043587898491</v>
      </c>
      <c r="J39">
        <f t="shared" si="5"/>
        <v>0.71055085254823958</v>
      </c>
    </row>
    <row r="40" spans="3:10" x14ac:dyDescent="0.15">
      <c r="C40">
        <v>39</v>
      </c>
      <c r="D40">
        <f t="shared" si="1"/>
        <v>7.998824913698261</v>
      </c>
      <c r="E40">
        <f t="shared" si="2"/>
        <v>18.472494868497503</v>
      </c>
      <c r="F40">
        <f t="shared" si="3"/>
        <v>0.10026293521723732</v>
      </c>
      <c r="G40">
        <f t="shared" si="5"/>
        <v>0.40105174086894929</v>
      </c>
      <c r="H40">
        <f t="shared" si="5"/>
        <v>0.50131467608618663</v>
      </c>
      <c r="I40">
        <f t="shared" si="5"/>
        <v>0.60157761130342391</v>
      </c>
      <c r="J40">
        <f t="shared" si="5"/>
        <v>0.7018405465206613</v>
      </c>
    </row>
    <row r="41" spans="3:10" x14ac:dyDescent="0.15">
      <c r="C41">
        <v>40</v>
      </c>
      <c r="D41">
        <f t="shared" si="1"/>
        <v>8.0981930083198197</v>
      </c>
      <c r="E41">
        <f t="shared" si="2"/>
        <v>18.701975653211971</v>
      </c>
      <c r="F41">
        <f t="shared" si="3"/>
        <v>9.9063243636222084E-2</v>
      </c>
      <c r="G41">
        <f t="shared" si="5"/>
        <v>0.39625297454488834</v>
      </c>
      <c r="H41">
        <f t="shared" si="5"/>
        <v>0.49531621818111043</v>
      </c>
      <c r="I41">
        <f t="shared" si="5"/>
        <v>0.59437946181733248</v>
      </c>
      <c r="J41">
        <f t="shared" si="5"/>
        <v>0.69344270545355458</v>
      </c>
    </row>
    <row r="42" spans="3:10" x14ac:dyDescent="0.15">
      <c r="C42">
        <v>41</v>
      </c>
      <c r="D42">
        <f t="shared" si="1"/>
        <v>8.1963565076197114</v>
      </c>
      <c r="E42">
        <f t="shared" si="2"/>
        <v>18.928674544193523</v>
      </c>
      <c r="F42">
        <f t="shared" si="3"/>
        <v>9.7905585060644784E-2</v>
      </c>
      <c r="G42">
        <f t="shared" si="5"/>
        <v>0.39162234024257914</v>
      </c>
      <c r="H42">
        <f t="shared" si="5"/>
        <v>0.48952792530322392</v>
      </c>
      <c r="I42">
        <f t="shared" si="5"/>
        <v>0.58743351036386871</v>
      </c>
      <c r="J42">
        <f t="shared" si="5"/>
        <v>0.68533909542451354</v>
      </c>
    </row>
    <row r="43" spans="3:10" x14ac:dyDescent="0.15">
      <c r="C43">
        <v>42</v>
      </c>
      <c r="D43">
        <f t="shared" si="1"/>
        <v>8.2933581859220329</v>
      </c>
      <c r="E43">
        <f t="shared" si="2"/>
        <v>19.152690324512289</v>
      </c>
      <c r="F43">
        <f t="shared" si="3"/>
        <v>9.6787562466911406E-2</v>
      </c>
      <c r="G43">
        <f t="shared" si="5"/>
        <v>0.38715024986764562</v>
      </c>
      <c r="H43">
        <f t="shared" si="5"/>
        <v>0.48393781233455702</v>
      </c>
      <c r="I43">
        <f t="shared" si="5"/>
        <v>0.58072537480146846</v>
      </c>
      <c r="J43">
        <f t="shared" si="5"/>
        <v>0.6775129372683798</v>
      </c>
    </row>
    <row r="44" spans="3:10" x14ac:dyDescent="0.15">
      <c r="C44">
        <v>43</v>
      </c>
      <c r="D44">
        <f t="shared" si="1"/>
        <v>8.389238344450586</v>
      </c>
      <c r="E44">
        <f t="shared" si="2"/>
        <v>19.374116065857905</v>
      </c>
      <c r="F44">
        <f t="shared" si="3"/>
        <v>9.5706965824284701E-2</v>
      </c>
      <c r="G44">
        <f t="shared" si="5"/>
        <v>0.3828278632971388</v>
      </c>
      <c r="H44">
        <f t="shared" si="5"/>
        <v>0.47853482912142353</v>
      </c>
      <c r="I44">
        <f t="shared" si="5"/>
        <v>0.57424179494570815</v>
      </c>
      <c r="J44">
        <f t="shared" si="5"/>
        <v>0.66994876076999288</v>
      </c>
    </row>
    <row r="45" spans="3:10" x14ac:dyDescent="0.15">
      <c r="C45">
        <v>44</v>
      </c>
      <c r="D45">
        <f t="shared" si="1"/>
        <v>8.4840350069999122</v>
      </c>
      <c r="E45">
        <f t="shared" si="2"/>
        <v>19.593039580422431</v>
      </c>
      <c r="F45">
        <f t="shared" si="3"/>
        <v>9.4661753759715903E-2</v>
      </c>
      <c r="G45">
        <f t="shared" si="5"/>
        <v>0.37864701503886361</v>
      </c>
      <c r="H45">
        <f t="shared" si="5"/>
        <v>0.47330876879857953</v>
      </c>
      <c r="I45">
        <f t="shared" si="5"/>
        <v>0.56797052255829539</v>
      </c>
      <c r="J45">
        <f t="shared" si="5"/>
        <v>0.66263227631801136</v>
      </c>
    </row>
    <row r="46" spans="3:10" x14ac:dyDescent="0.15">
      <c r="C46">
        <v>45</v>
      </c>
      <c r="D46">
        <f t="shared" si="1"/>
        <v>8.5777840961404479</v>
      </c>
      <c r="E46">
        <f t="shared" si="2"/>
        <v>19.809543827828712</v>
      </c>
      <c r="F46">
        <f t="shared" si="3"/>
        <v>9.3650037371830919E-2</v>
      </c>
      <c r="G46">
        <f t="shared" si="5"/>
        <v>0.37460014948732367</v>
      </c>
      <c r="H46">
        <f t="shared" si="5"/>
        <v>0.46825018685915459</v>
      </c>
      <c r="I46">
        <f t="shared" si="5"/>
        <v>0.56190022423098551</v>
      </c>
      <c r="J46">
        <f t="shared" si="5"/>
        <v>0.65555026160281638</v>
      </c>
    </row>
    <row r="47" spans="3:10" x14ac:dyDescent="0.15">
      <c r="C47">
        <v>46</v>
      </c>
      <c r="D47">
        <f t="shared" si="1"/>
        <v>8.67051959227358</v>
      </c>
      <c r="E47">
        <f t="shared" si="2"/>
        <v>20.023707282452303</v>
      </c>
      <c r="F47">
        <f t="shared" si="3"/>
        <v>9.2670065902748344E-2</v>
      </c>
      <c r="G47">
        <f t="shared" si="5"/>
        <v>0.37068026361099338</v>
      </c>
      <c r="H47">
        <f t="shared" si="5"/>
        <v>0.46335032951374172</v>
      </c>
      <c r="I47">
        <f t="shared" si="5"/>
        <v>0.55602039541649007</v>
      </c>
      <c r="J47">
        <f t="shared" si="5"/>
        <v>0.64869046131923835</v>
      </c>
    </row>
    <row r="48" spans="3:10" x14ac:dyDescent="0.15">
      <c r="C48">
        <v>47</v>
      </c>
      <c r="D48">
        <f t="shared" si="1"/>
        <v>8.7622736775337025</v>
      </c>
      <c r="E48">
        <f t="shared" si="2"/>
        <v>20.235604265749021</v>
      </c>
      <c r="F48">
        <f t="shared" si="3"/>
        <v>9.1720214021012644E-2</v>
      </c>
      <c r="G48">
        <f t="shared" si="5"/>
        <v>0.36688085608405058</v>
      </c>
      <c r="H48">
        <f t="shared" si="5"/>
        <v>0.45860107010506324</v>
      </c>
      <c r="I48">
        <f t="shared" si="5"/>
        <v>0.55032128412607584</v>
      </c>
      <c r="J48">
        <f t="shared" si="5"/>
        <v>0.64204149814708855</v>
      </c>
    </row>
    <row r="49" spans="3:10" x14ac:dyDescent="0.15">
      <c r="C49">
        <v>48</v>
      </c>
      <c r="D49">
        <f t="shared" si="1"/>
        <v>8.853076866265198</v>
      </c>
      <c r="E49">
        <f t="shared" si="2"/>
        <v>20.445305247578641</v>
      </c>
      <c r="F49">
        <f t="shared" si="3"/>
        <v>9.0798970505950455E-2</v>
      </c>
      <c r="G49">
        <f t="shared" si="5"/>
        <v>0.36319588202380182</v>
      </c>
      <c r="H49">
        <f t="shared" si="5"/>
        <v>0.45399485252975225</v>
      </c>
      <c r="I49">
        <f t="shared" si="5"/>
        <v>0.54479382303570278</v>
      </c>
      <c r="J49">
        <f t="shared" si="5"/>
        <v>0.63559279354165321</v>
      </c>
    </row>
    <row r="50" spans="3:10" x14ac:dyDescent="0.15">
      <c r="C50">
        <v>49</v>
      </c>
      <c r="D50">
        <f t="shared" si="1"/>
        <v>8.9429581235740994</v>
      </c>
      <c r="E50">
        <f t="shared" si="2"/>
        <v>20.652877119988226</v>
      </c>
      <c r="F50">
        <f t="shared" si="3"/>
        <v>8.9904928154615218E-2</v>
      </c>
      <c r="G50">
        <f t="shared" si="5"/>
        <v>0.35961971261846087</v>
      </c>
      <c r="H50">
        <f t="shared" si="5"/>
        <v>0.44952464077307608</v>
      </c>
      <c r="I50">
        <f t="shared" si="5"/>
        <v>0.53942956892769134</v>
      </c>
      <c r="J50">
        <f t="shared" si="5"/>
        <v>0.62933449708230649</v>
      </c>
    </row>
    <row r="51" spans="3:10" x14ac:dyDescent="0.15">
      <c r="C51">
        <v>50</v>
      </c>
      <c r="D51">
        <f t="shared" si="1"/>
        <v>9.03194497326019</v>
      </c>
      <c r="E51">
        <f t="shared" si="2"/>
        <v>20.858383446470629</v>
      </c>
      <c r="F51">
        <f t="shared" si="3"/>
        <v>8.9036774758293247E-2</v>
      </c>
      <c r="G51">
        <f t="shared" si="5"/>
        <v>0.35614709903317299</v>
      </c>
      <c r="H51">
        <f t="shared" si="5"/>
        <v>0.44518387379146623</v>
      </c>
      <c r="I51">
        <f t="shared" si="5"/>
        <v>0.53422064854975948</v>
      </c>
      <c r="J51">
        <f t="shared" si="5"/>
        <v>0.62325742330805278</v>
      </c>
    </row>
    <row r="52" spans="3:10" x14ac:dyDescent="0.15">
      <c r="C52">
        <v>51</v>
      </c>
      <c r="D52">
        <f t="shared" si="1"/>
        <v>9.1200635962694907</v>
      </c>
      <c r="E52">
        <f t="shared" si="2"/>
        <v>21.061884689330785</v>
      </c>
      <c r="F52">
        <f t="shared" si="3"/>
        <v>8.8193285017220374E-2</v>
      </c>
      <c r="G52">
        <f t="shared" si="5"/>
        <v>0.3527731400688815</v>
      </c>
      <c r="H52">
        <f t="shared" si="5"/>
        <v>0.44096642508610184</v>
      </c>
      <c r="I52">
        <f t="shared" si="5"/>
        <v>0.5291597101033223</v>
      </c>
      <c r="J52">
        <f t="shared" si="5"/>
        <v>0.61735299512054265</v>
      </c>
    </row>
    <row r="53" spans="3:10" x14ac:dyDescent="0.15">
      <c r="C53">
        <v>52</v>
      </c>
      <c r="D53">
        <f t="shared" si="1"/>
        <v>9.2073389206654053</v>
      </c>
      <c r="E53">
        <f t="shared" si="2"/>
        <v>21.26343841746516</v>
      </c>
      <c r="F53">
        <f t="shared" si="3"/>
        <v>8.7373313280412104E-2</v>
      </c>
      <c r="G53">
        <f t="shared" si="5"/>
        <v>0.34949325312164842</v>
      </c>
      <c r="H53">
        <f t="shared" si="5"/>
        <v>0.43686656640206051</v>
      </c>
      <c r="I53">
        <f t="shared" si="5"/>
        <v>0.52423987968247265</v>
      </c>
      <c r="J53">
        <f t="shared" si="5"/>
        <v>0.61161319296288474</v>
      </c>
    </row>
    <row r="54" spans="3:10" x14ac:dyDescent="0.15">
      <c r="C54">
        <v>53</v>
      </c>
      <c r="D54">
        <f t="shared" si="1"/>
        <v>9.2937947039947026</v>
      </c>
      <c r="E54">
        <f t="shared" si="2"/>
        <v>21.46309949657784</v>
      </c>
      <c r="F54">
        <f t="shared" si="3"/>
        <v>8.6575787012951919E-2</v>
      </c>
      <c r="G54">
        <f t="shared" si="5"/>
        <v>0.34630314805180767</v>
      </c>
      <c r="H54">
        <f t="shared" si="5"/>
        <v>0.43287893506475961</v>
      </c>
      <c r="I54">
        <f t="shared" si="5"/>
        <v>0.51945472207771148</v>
      </c>
      <c r="J54">
        <f t="shared" si="5"/>
        <v>0.60603050909066347</v>
      </c>
    </row>
    <row r="55" spans="3:10" x14ac:dyDescent="0.15">
      <c r="C55">
        <v>54</v>
      </c>
      <c r="D55">
        <f t="shared" si="1"/>
        <v>9.3794536088196523</v>
      </c>
      <c r="E55">
        <f t="shared" si="2"/>
        <v>21.660920263614532</v>
      </c>
      <c r="F55">
        <f t="shared" si="3"/>
        <v>8.5799700906170603E-2</v>
      </c>
      <c r="G55">
        <f t="shared" si="5"/>
        <v>0.34319880362468241</v>
      </c>
      <c r="H55">
        <f t="shared" si="5"/>
        <v>0.42899850453085303</v>
      </c>
      <c r="I55">
        <f t="shared" si="5"/>
        <v>0.51479820543702359</v>
      </c>
      <c r="J55">
        <f t="shared" si="5"/>
        <v>0.60059790634319421</v>
      </c>
    </row>
    <row r="56" spans="3:10" x14ac:dyDescent="0.15">
      <c r="C56">
        <v>55</v>
      </c>
      <c r="D56">
        <f t="shared" si="1"/>
        <v>9.4643372720967633</v>
      </c>
      <c r="E56">
        <f t="shared" si="2"/>
        <v>21.856950686985897</v>
      </c>
      <c r="F56">
        <f t="shared" si="3"/>
        <v>8.5044111557290844E-2</v>
      </c>
      <c r="G56">
        <f t="shared" si="5"/>
        <v>0.34017644622916338</v>
      </c>
      <c r="H56">
        <f t="shared" si="5"/>
        <v>0.42522055778645423</v>
      </c>
      <c r="I56">
        <f t="shared" si="5"/>
        <v>0.51026466934374504</v>
      </c>
      <c r="J56">
        <f t="shared" si="5"/>
        <v>0.59530878090103589</v>
      </c>
    </row>
    <row r="57" spans="3:10" x14ac:dyDescent="0.15">
      <c r="C57">
        <v>56</v>
      </c>
      <c r="D57">
        <f t="shared" si="1"/>
        <v>9.5484663690039771</v>
      </c>
      <c r="E57">
        <f t="shared" si="2"/>
        <v>22.051238513970137</v>
      </c>
      <c r="F57">
        <f t="shared" si="3"/>
        <v>8.4308132654615522E-2</v>
      </c>
      <c r="G57">
        <f t="shared" si="5"/>
        <v>0.33723253061846209</v>
      </c>
      <c r="H57">
        <f t="shared" si="5"/>
        <v>0.4215406632730776</v>
      </c>
      <c r="I57">
        <f t="shared" si="5"/>
        <v>0.50584879592769316</v>
      </c>
      <c r="J57">
        <f t="shared" si="5"/>
        <v>0.59015692858230862</v>
      </c>
    </row>
    <row r="58" spans="3:10" x14ac:dyDescent="0.15">
      <c r="C58">
        <v>57</v>
      </c>
      <c r="D58">
        <f t="shared" si="1"/>
        <v>9.6318606717497737</v>
      </c>
      <c r="E58">
        <f t="shared" si="2"/>
        <v>22.243829406526803</v>
      </c>
      <c r="F58">
        <f t="shared" si="3"/>
        <v>8.3590930612474065E-2</v>
      </c>
      <c r="G58">
        <f t="shared" si="5"/>
        <v>0.33436372244989626</v>
      </c>
      <c r="H58">
        <f t="shared" si="5"/>
        <v>0.41795465306237034</v>
      </c>
      <c r="I58">
        <f t="shared" si="5"/>
        <v>0.50154558367484436</v>
      </c>
      <c r="J58">
        <f t="shared" si="5"/>
        <v>0.5851365142873185</v>
      </c>
    </row>
    <row r="59" spans="3:10" x14ac:dyDescent="0.15">
      <c r="C59">
        <v>58</v>
      </c>
      <c r="D59">
        <f t="shared" si="1"/>
        <v>9.7145391038381224</v>
      </c>
      <c r="E59">
        <f t="shared" si="2"/>
        <v>22.434767066616342</v>
      </c>
      <c r="F59">
        <f t="shared" si="3"/>
        <v>8.2891720607122049E-2</v>
      </c>
      <c r="G59">
        <f t="shared" si="5"/>
        <v>0.3315668824284882</v>
      </c>
      <c r="H59">
        <f t="shared" si="5"/>
        <v>0.41445860303561022</v>
      </c>
      <c r="I59">
        <f t="shared" si="5"/>
        <v>0.49735032364273229</v>
      </c>
      <c r="J59">
        <f t="shared" si="5"/>
        <v>0.58024204424985437</v>
      </c>
    </row>
    <row r="60" spans="3:10" x14ac:dyDescent="0.15">
      <c r="C60">
        <v>59</v>
      </c>
      <c r="D60">
        <f t="shared" si="1"/>
        <v>9.7965197902112156</v>
      </c>
      <c r="E60">
        <f t="shared" si="2"/>
        <v>22.624093351999765</v>
      </c>
      <c r="F60">
        <f t="shared" si="3"/>
        <v>8.2209762970798544E-2</v>
      </c>
      <c r="G60">
        <f t="shared" si="5"/>
        <v>0.32883905188319418</v>
      </c>
      <c r="H60">
        <f t="shared" si="5"/>
        <v>0.41104881485399269</v>
      </c>
      <c r="I60">
        <f t="shared" si="5"/>
        <v>0.49325857782479127</v>
      </c>
      <c r="J60">
        <f t="shared" si="5"/>
        <v>0.57546834079558984</v>
      </c>
    </row>
    <row r="61" spans="3:10" x14ac:dyDescent="0.15">
      <c r="C61">
        <v>60</v>
      </c>
      <c r="D61">
        <f t="shared" si="1"/>
        <v>9.87782010364635</v>
      </c>
      <c r="E61">
        <f t="shared" si="2"/>
        <v>22.81184838338767</v>
      </c>
      <c r="F61">
        <f t="shared" si="3"/>
        <v>8.1544359906328107E-2</v>
      </c>
      <c r="G61">
        <f t="shared" si="5"/>
        <v>0.32617743962531243</v>
      </c>
      <c r="H61">
        <f t="shared" si="5"/>
        <v>0.40772179953164056</v>
      </c>
      <c r="I61">
        <f t="shared" si="5"/>
        <v>0.48926615943796864</v>
      </c>
      <c r="J61">
        <f t="shared" si="5"/>
        <v>0.57081051934429672</v>
      </c>
    </row>
    <row r="62" spans="3:10" x14ac:dyDescent="0.15">
      <c r="C62">
        <v>61</v>
      </c>
      <c r="D62">
        <f t="shared" si="1"/>
        <v>9.958456707743423</v>
      </c>
      <c r="E62">
        <f t="shared" si="2"/>
        <v>22.998070643715597</v>
      </c>
      <c r="F62">
        <f t="shared" si="3"/>
        <v>8.0894852489138774E-2</v>
      </c>
      <c r="G62">
        <f t="shared" si="5"/>
        <v>0.3235794099565551</v>
      </c>
      <c r="H62">
        <f t="shared" si="5"/>
        <v>0.40447426244569384</v>
      </c>
      <c r="I62">
        <f t="shared" si="5"/>
        <v>0.48536911493483265</v>
      </c>
      <c r="J62">
        <f t="shared" si="5"/>
        <v>0.56626396742397145</v>
      </c>
    </row>
    <row r="63" spans="3:10" x14ac:dyDescent="0.15">
      <c r="C63">
        <v>62</v>
      </c>
      <c r="D63">
        <f t="shared" si="1"/>
        <v>10.038445596804317</v>
      </c>
      <c r="E63">
        <f t="shared" si="2"/>
        <v>23.182797070241545</v>
      </c>
      <c r="F63">
        <f t="shared" si="3"/>
        <v>8.0260617927454911E-2</v>
      </c>
      <c r="G63">
        <f t="shared" si="5"/>
        <v>0.32104247170981964</v>
      </c>
      <c r="H63">
        <f t="shared" si="5"/>
        <v>0.40130308963727457</v>
      </c>
      <c r="I63">
        <f t="shared" si="5"/>
        <v>0.48156370756472944</v>
      </c>
      <c r="J63">
        <f t="shared" si="5"/>
        <v>0.56182432549218442</v>
      </c>
    </row>
    <row r="64" spans="3:10" x14ac:dyDescent="0.15">
      <c r="C64">
        <v>63</v>
      </c>
      <c r="D64">
        <f t="shared" si="1"/>
        <v>10.117802132874511</v>
      </c>
      <c r="E64">
        <f t="shared" si="2"/>
        <v>23.366063140089874</v>
      </c>
      <c r="F64">
        <f t="shared" si="3"/>
        <v>7.964106705480245E-2</v>
      </c>
      <c r="G64">
        <f t="shared" si="5"/>
        <v>0.3185642682192098</v>
      </c>
      <c r="H64">
        <f t="shared" si="5"/>
        <v>0.39820533527401225</v>
      </c>
      <c r="I64">
        <f t="shared" si="5"/>
        <v>0.4778464023288147</v>
      </c>
      <c r="J64">
        <f t="shared" si="5"/>
        <v>0.55748746938361715</v>
      </c>
    </row>
    <row r="65" spans="3:10" x14ac:dyDescent="0.15">
      <c r="C65">
        <v>64</v>
      </c>
      <c r="D65">
        <f t="shared" si="1"/>
        <v>10.19654108018989</v>
      </c>
      <c r="E65">
        <f t="shared" si="2"/>
        <v>23.547902949802843</v>
      </c>
      <c r="F65">
        <f t="shared" si="3"/>
        <v>7.903564203190637E-2</v>
      </c>
      <c r="G65">
        <f t="shared" si="5"/>
        <v>0.31614256812762548</v>
      </c>
      <c r="H65">
        <f t="shared" si="5"/>
        <v>0.39517821015953186</v>
      </c>
      <c r="I65">
        <f t="shared" si="5"/>
        <v>0.47421385219143819</v>
      </c>
      <c r="J65">
        <f t="shared" si="5"/>
        <v>0.55324949422334457</v>
      </c>
    </row>
    <row r="66" spans="3:10" x14ac:dyDescent="0.15">
      <c r="C66">
        <v>65</v>
      </c>
      <c r="D66">
        <f t="shared" si="1"/>
        <v>10.27467663724752</v>
      </c>
      <c r="E66">
        <f t="shared" si="2"/>
        <v>23.728349289404857</v>
      </c>
      <c r="F66">
        <f t="shared" si="3"/>
        <v>7.8443814237631193E-2</v>
      </c>
      <c r="G66">
        <f t="shared" si="5"/>
        <v>0.31377525695052477</v>
      </c>
      <c r="H66">
        <f t="shared" si="5"/>
        <v>0.39221907118815597</v>
      </c>
      <c r="I66">
        <f t="shared" si="5"/>
        <v>0.47066288542578716</v>
      </c>
      <c r="J66">
        <f t="shared" si="5"/>
        <v>0.54910669966341841</v>
      </c>
    </row>
    <row r="67" spans="3:10" x14ac:dyDescent="0.15">
      <c r="C67">
        <v>66</v>
      </c>
      <c r="D67">
        <f t="shared" ref="D67:D101" si="6">0.97*(1.7*(C67+1))^0.5</f>
        <v>10.35222246669767</v>
      </c>
      <c r="E67">
        <f t="shared" ref="E67:E101" si="7">4*3^0.5*D67/3</f>
        <v>23.907433711435164</v>
      </c>
      <c r="F67">
        <f t="shared" ref="F67:F101" si="8">(8+16*C67)/E67^3</f>
        <v>7.7865082330861229E-2</v>
      </c>
      <c r="G67">
        <f t="shared" ref="G67:J101" si="9">$F67*G$1</f>
        <v>0.31146032932344492</v>
      </c>
      <c r="H67">
        <f t="shared" si="9"/>
        <v>0.38932541165430612</v>
      </c>
      <c r="I67">
        <f t="shared" si="9"/>
        <v>0.46719049398516738</v>
      </c>
      <c r="J67">
        <f t="shared" si="9"/>
        <v>0.54505557631602863</v>
      </c>
    </row>
    <row r="68" spans="3:10" x14ac:dyDescent="0.15">
      <c r="C68">
        <v>67</v>
      </c>
      <c r="D68">
        <f t="shared" si="6"/>
        <v>10.429191723235315</v>
      </c>
      <c r="E68">
        <f t="shared" si="7"/>
        <v>24.085186595360501</v>
      </c>
      <c r="F68">
        <f t="shared" si="8"/>
        <v>7.7298970467189587E-2</v>
      </c>
      <c r="G68">
        <f t="shared" si="9"/>
        <v>0.30919588186875835</v>
      </c>
      <c r="H68">
        <f t="shared" si="9"/>
        <v>0.38649485233594794</v>
      </c>
      <c r="I68">
        <f t="shared" si="9"/>
        <v>0.46379382280313752</v>
      </c>
      <c r="J68">
        <f t="shared" si="9"/>
        <v>0.54109279327032711</v>
      </c>
    </row>
    <row r="69" spans="3:10" x14ac:dyDescent="0.15">
      <c r="C69">
        <v>68</v>
      </c>
      <c r="D69">
        <f t="shared" si="6"/>
        <v>10.50559707965235</v>
      </c>
      <c r="E69">
        <f t="shared" si="7"/>
        <v>24.261637207740122</v>
      </c>
      <c r="F69">
        <f t="shared" si="8"/>
        <v>7.6745026656014334E-2</v>
      </c>
      <c r="G69">
        <f t="shared" si="9"/>
        <v>0.30698010662405734</v>
      </c>
      <c r="H69">
        <f t="shared" si="9"/>
        <v>0.38372513328007168</v>
      </c>
      <c r="I69">
        <f t="shared" si="9"/>
        <v>0.46047015993608598</v>
      </c>
      <c r="J69">
        <f t="shared" si="9"/>
        <v>0.53721518659210032</v>
      </c>
    </row>
    <row r="70" spans="3:10" x14ac:dyDescent="0.15">
      <c r="C70">
        <v>69</v>
      </c>
      <c r="D70">
        <f t="shared" si="6"/>
        <v>10.581450751196643</v>
      </c>
      <c r="E70">
        <f t="shared" si="7"/>
        <v>24.436813758480596</v>
      </c>
      <c r="F70">
        <f t="shared" si="8"/>
        <v>7.6202821245165309E-2</v>
      </c>
      <c r="G70">
        <f t="shared" si="9"/>
        <v>0.30481128498066123</v>
      </c>
      <c r="H70">
        <f t="shared" si="9"/>
        <v>0.38101410622582654</v>
      </c>
      <c r="I70">
        <f t="shared" si="9"/>
        <v>0.45721692747099185</v>
      </c>
      <c r="J70">
        <f t="shared" si="9"/>
        <v>0.53341974871615716</v>
      </c>
    </row>
    <row r="71" spans="3:10" x14ac:dyDescent="0.15">
      <c r="C71">
        <v>70</v>
      </c>
      <c r="D71">
        <f t="shared" si="6"/>
        <v>10.65676451837048</v>
      </c>
      <c r="E71">
        <f t="shared" si="7"/>
        <v>24.610743453486595</v>
      </c>
      <c r="F71">
        <f t="shared" si="8"/>
        <v>7.5671945521526715E-2</v>
      </c>
      <c r="G71">
        <f t="shared" si="9"/>
        <v>0.30268778208610686</v>
      </c>
      <c r="H71">
        <f t="shared" si="9"/>
        <v>0.37835972760763359</v>
      </c>
      <c r="I71">
        <f t="shared" si="9"/>
        <v>0.45403167312916026</v>
      </c>
      <c r="J71">
        <f t="shared" si="9"/>
        <v>0.52970361865068705</v>
      </c>
    </row>
    <row r="72" spans="3:10" x14ac:dyDescent="0.15">
      <c r="C72">
        <v>71</v>
      </c>
      <c r="D72">
        <f t="shared" si="6"/>
        <v>10.73154974828892</v>
      </c>
      <c r="E72">
        <f t="shared" si="7"/>
        <v>24.783452543985874</v>
      </c>
      <c r="F72">
        <f t="shared" si="8"/>
        <v>7.5152010417309512E-2</v>
      </c>
      <c r="G72">
        <f t="shared" si="9"/>
        <v>0.30060804166923805</v>
      </c>
      <c r="H72">
        <f t="shared" si="9"/>
        <v>0.37576005208654756</v>
      </c>
      <c r="I72">
        <f t="shared" si="9"/>
        <v>0.45091206250385707</v>
      </c>
      <c r="J72">
        <f t="shared" si="9"/>
        <v>0.52606407292116653</v>
      </c>
    </row>
    <row r="73" spans="3:10" x14ac:dyDescent="0.15">
      <c r="C73">
        <v>72</v>
      </c>
      <c r="D73">
        <f t="shared" si="6"/>
        <v>10.80581741470769</v>
      </c>
      <c r="E73">
        <f t="shared" si="7"/>
        <v>24.954966372781723</v>
      </c>
      <c r="F73">
        <f t="shared" si="8"/>
        <v>7.4642645312676018E-2</v>
      </c>
      <c r="G73">
        <f t="shared" si="9"/>
        <v>0.29857058125070407</v>
      </c>
      <c r="H73">
        <f t="shared" si="9"/>
        <v>0.37321322656338007</v>
      </c>
      <c r="I73">
        <f t="shared" si="9"/>
        <v>0.44785587187605613</v>
      </c>
      <c r="J73">
        <f t="shared" si="9"/>
        <v>0.52249851718873208</v>
      </c>
    </row>
    <row r="74" spans="3:10" x14ac:dyDescent="0.15">
      <c r="C74">
        <v>73</v>
      </c>
      <c r="D74">
        <f t="shared" si="6"/>
        <v>10.879578116820523</v>
      </c>
      <c r="E74">
        <f t="shared" si="7"/>
        <v>25.125309417663562</v>
      </c>
      <c r="F74">
        <f t="shared" si="8"/>
        <v>7.4143496926351582E-2</v>
      </c>
      <c r="G74">
        <f t="shared" si="9"/>
        <v>0.29657398770540633</v>
      </c>
      <c r="H74">
        <f t="shared" si="9"/>
        <v>0.37071748463175791</v>
      </c>
      <c r="I74">
        <f t="shared" si="9"/>
        <v>0.44486098155810949</v>
      </c>
      <c r="J74">
        <f t="shared" si="9"/>
        <v>0.51900447848446107</v>
      </c>
    </row>
    <row r="75" spans="3:10" x14ac:dyDescent="0.15">
      <c r="C75">
        <v>74</v>
      </c>
      <c r="D75">
        <f t="shared" si="6"/>
        <v>10.952842096917127</v>
      </c>
      <c r="E75">
        <f t="shared" si="7"/>
        <v>25.294505332186272</v>
      </c>
      <c r="F75">
        <f t="shared" si="8"/>
        <v>7.3654228286684373E-2</v>
      </c>
      <c r="G75">
        <f t="shared" si="9"/>
        <v>0.29461691314673749</v>
      </c>
      <c r="H75">
        <f t="shared" si="9"/>
        <v>0.36827114143342188</v>
      </c>
      <c r="I75">
        <f t="shared" si="9"/>
        <v>0.44192536972010621</v>
      </c>
      <c r="J75">
        <f t="shared" si="9"/>
        <v>0.51557959800679065</v>
      </c>
    </row>
    <row r="76" spans="3:10" x14ac:dyDescent="0.15">
      <c r="C76">
        <v>75</v>
      </c>
      <c r="D76">
        <f t="shared" si="6"/>
        <v>11.02561925698507</v>
      </c>
      <c r="E76">
        <f t="shared" si="7"/>
        <v>25.462576984010607</v>
      </c>
      <c r="F76">
        <f t="shared" si="8"/>
        <v>7.317451777634959E-2</v>
      </c>
      <c r="G76">
        <f t="shared" si="9"/>
        <v>0.29269807110539836</v>
      </c>
      <c r="H76">
        <f t="shared" si="9"/>
        <v>0.36587258888174795</v>
      </c>
      <c r="I76">
        <f t="shared" si="9"/>
        <v>0.43904710665809754</v>
      </c>
      <c r="J76">
        <f t="shared" si="9"/>
        <v>0.51222162443444708</v>
      </c>
    </row>
    <row r="77" spans="3:10" x14ac:dyDescent="0.15">
      <c r="C77">
        <v>76</v>
      </c>
      <c r="D77">
        <f t="shared" si="6"/>
        <v>11.097919174331736</v>
      </c>
      <c r="E77">
        <f t="shared" si="7"/>
        <v>25.629546490980545</v>
      </c>
      <c r="F77">
        <f t="shared" si="8"/>
        <v>7.2704058244551076E-2</v>
      </c>
      <c r="G77">
        <f t="shared" si="9"/>
        <v>0.2908162329782043</v>
      </c>
      <c r="H77">
        <f t="shared" si="9"/>
        <v>0.36352029122275537</v>
      </c>
      <c r="I77">
        <f t="shared" si="9"/>
        <v>0.43622434946730648</v>
      </c>
      <c r="J77">
        <f t="shared" si="9"/>
        <v>0.50892840771185754</v>
      </c>
    </row>
    <row r="78" spans="3:10" x14ac:dyDescent="0.15">
      <c r="C78">
        <v>77</v>
      </c>
      <c r="D78">
        <f t="shared" si="6"/>
        <v>11.16975111629619</v>
      </c>
      <c r="E78">
        <f t="shared" si="7"/>
        <v>25.795435255098912</v>
      </c>
      <c r="F78">
        <f t="shared" si="8"/>
        <v>7.2242556181155049E-2</v>
      </c>
      <c r="G78">
        <f t="shared" si="9"/>
        <v>0.28897022472462019</v>
      </c>
      <c r="H78">
        <f t="shared" si="9"/>
        <v>0.36121278090577524</v>
      </c>
      <c r="I78">
        <f t="shared" si="9"/>
        <v>0.43345533708693029</v>
      </c>
      <c r="J78">
        <f t="shared" si="9"/>
        <v>0.50569789326808534</v>
      </c>
    </row>
    <row r="79" spans="3:10" x14ac:dyDescent="0.15">
      <c r="C79">
        <v>78</v>
      </c>
      <c r="D79">
        <f t="shared" si="6"/>
        <v>11.241124054114872</v>
      </c>
      <c r="E79">
        <f t="shared" si="7"/>
        <v>25.960263994548793</v>
      </c>
      <c r="F79">
        <f t="shared" si="8"/>
        <v>7.1789730947716859E-2</v>
      </c>
      <c r="G79">
        <f t="shared" si="9"/>
        <v>0.28715892379086744</v>
      </c>
      <c r="H79">
        <f t="shared" si="9"/>
        <v>0.35894865473858428</v>
      </c>
      <c r="I79">
        <f t="shared" si="9"/>
        <v>0.43073838568630118</v>
      </c>
      <c r="J79">
        <f t="shared" si="9"/>
        <v>0.50252811663401797</v>
      </c>
    </row>
    <row r="80" spans="3:10" x14ac:dyDescent="0.15">
      <c r="C80">
        <v>79</v>
      </c>
      <c r="D80">
        <f t="shared" si="6"/>
        <v>11.312046675999882</v>
      </c>
      <c r="E80">
        <f t="shared" si="7"/>
        <v>26.124052773896569</v>
      </c>
      <c r="F80">
        <f t="shared" si="8"/>
        <v>7.1345314060825255E-2</v>
      </c>
      <c r="G80">
        <f t="shared" si="9"/>
        <v>0.28538125624330102</v>
      </c>
      <c r="H80">
        <f t="shared" si="9"/>
        <v>0.35672657030412624</v>
      </c>
      <c r="I80">
        <f t="shared" si="9"/>
        <v>0.42807188436495153</v>
      </c>
      <c r="J80">
        <f t="shared" si="9"/>
        <v>0.49941719842577681</v>
      </c>
    </row>
    <row r="81" spans="3:10" x14ac:dyDescent="0.15">
      <c r="C81">
        <v>80</v>
      </c>
      <c r="D81">
        <f t="shared" si="6"/>
        <v>11.382527399483823</v>
      </c>
      <c r="E81">
        <f t="shared" si="7"/>
        <v>26.286821032601107</v>
      </c>
      <c r="F81">
        <f t="shared" si="8"/>
        <v>7.090904852361099E-2</v>
      </c>
      <c r="G81">
        <f t="shared" si="9"/>
        <v>0.28363619409444396</v>
      </c>
      <c r="H81">
        <f t="shared" si="9"/>
        <v>0.35454524261805498</v>
      </c>
      <c r="I81">
        <f t="shared" si="9"/>
        <v>0.42545429114166594</v>
      </c>
      <c r="J81">
        <f t="shared" si="9"/>
        <v>0.4963633396652769</v>
      </c>
    </row>
    <row r="82" spans="3:10" x14ac:dyDescent="0.15">
      <c r="C82">
        <v>81</v>
      </c>
      <c r="D82">
        <f t="shared" si="6"/>
        <v>11.452574383080863</v>
      </c>
      <c r="E82">
        <f t="shared" si="7"/>
        <v>26.448587611943793</v>
      </c>
      <c r="F82">
        <f t="shared" si="8"/>
        <v>7.0480688201640496E-2</v>
      </c>
      <c r="G82">
        <f t="shared" si="9"/>
        <v>0.28192275280656198</v>
      </c>
      <c r="H82">
        <f t="shared" si="9"/>
        <v>0.35240344100820248</v>
      </c>
      <c r="I82">
        <f t="shared" si="9"/>
        <v>0.42288412920984297</v>
      </c>
      <c r="J82">
        <f t="shared" si="9"/>
        <v>0.49336481741148347</v>
      </c>
    </row>
    <row r="83" spans="3:10" x14ac:dyDescent="0.15">
      <c r="C83">
        <v>82</v>
      </c>
      <c r="D83">
        <f t="shared" si="6"/>
        <v>11.522195537309718</v>
      </c>
      <c r="E83">
        <f t="shared" si="7"/>
        <v>26.609370780485079</v>
      </c>
      <c r="F83">
        <f t="shared" si="8"/>
        <v>7.0059997239753688E-2</v>
      </c>
      <c r="G83">
        <f t="shared" si="9"/>
        <v>0.28023998895901475</v>
      </c>
      <c r="H83">
        <f t="shared" si="9"/>
        <v>0.35029998619876845</v>
      </c>
      <c r="I83">
        <f t="shared" si="9"/>
        <v>0.4203599834385221</v>
      </c>
      <c r="J83">
        <f t="shared" si="9"/>
        <v>0.4904199806782758</v>
      </c>
    </row>
    <row r="84" spans="3:10" x14ac:dyDescent="0.15">
      <c r="C84">
        <v>83</v>
      </c>
      <c r="D84">
        <f t="shared" si="6"/>
        <v>11.591398535120772</v>
      </c>
      <c r="E84">
        <f t="shared" si="7"/>
        <v>26.769188258144847</v>
      </c>
      <c r="F84">
        <f t="shared" si="8"/>
        <v>6.9646749516709919E-2</v>
      </c>
      <c r="G84">
        <f t="shared" si="9"/>
        <v>0.27858699806683968</v>
      </c>
      <c r="H84">
        <f t="shared" si="9"/>
        <v>0.34823374758354958</v>
      </c>
      <c r="I84">
        <f t="shared" si="9"/>
        <v>0.41788049710025954</v>
      </c>
      <c r="J84">
        <f t="shared" si="9"/>
        <v>0.48752724661696945</v>
      </c>
    </row>
    <row r="85" spans="3:10" x14ac:dyDescent="0.15">
      <c r="C85">
        <v>84</v>
      </c>
      <c r="D85">
        <f t="shared" si="6"/>
        <v>11.660190821766168</v>
      </c>
      <c r="E85">
        <f t="shared" si="7"/>
        <v>26.928057238996402</v>
      </c>
      <c r="F85">
        <f t="shared" si="8"/>
        <v>6.9240728134779231E-2</v>
      </c>
      <c r="G85">
        <f t="shared" si="9"/>
        <v>0.27696291253911692</v>
      </c>
      <c r="H85">
        <f t="shared" si="9"/>
        <v>0.34620364067389614</v>
      </c>
      <c r="I85">
        <f t="shared" si="9"/>
        <v>0.41544436880867541</v>
      </c>
      <c r="J85">
        <f t="shared" si="9"/>
        <v>0.48468509694345463</v>
      </c>
    </row>
    <row r="86" spans="3:10" x14ac:dyDescent="0.15">
      <c r="C86">
        <v>85</v>
      </c>
      <c r="D86">
        <f t="shared" si="6"/>
        <v>11.728579624148866</v>
      </c>
      <c r="E86">
        <f t="shared" si="7"/>
        <v>27.085994412857229</v>
      </c>
      <c r="F86">
        <f t="shared" si="8"/>
        <v>6.8841724941663004E-2</v>
      </c>
      <c r="G86">
        <f t="shared" si="9"/>
        <v>0.27536689976665202</v>
      </c>
      <c r="H86">
        <f t="shared" si="9"/>
        <v>0.34420862470831504</v>
      </c>
      <c r="I86">
        <f t="shared" si="9"/>
        <v>0.413050349649978</v>
      </c>
      <c r="J86">
        <f t="shared" si="9"/>
        <v>0.48189207459164102</v>
      </c>
    </row>
    <row r="87" spans="3:10" x14ac:dyDescent="0.15">
      <c r="C87">
        <v>86</v>
      </c>
      <c r="D87">
        <f t="shared" si="6"/>
        <v>11.796571959683881</v>
      </c>
      <c r="E87">
        <f t="shared" si="7"/>
        <v>27.243015985753118</v>
      </c>
      <c r="F87">
        <f t="shared" si="8"/>
        <v>6.8449540082352295E-2</v>
      </c>
      <c r="G87">
        <f t="shared" si="9"/>
        <v>0.27379816032940918</v>
      </c>
      <c r="H87">
        <f t="shared" si="9"/>
        <v>0.34224770041176145</v>
      </c>
      <c r="I87">
        <f t="shared" si="9"/>
        <v>0.41069724049411377</v>
      </c>
      <c r="J87">
        <f t="shared" si="9"/>
        <v>0.47914678057646609</v>
      </c>
    </row>
    <row r="88" spans="3:10" x14ac:dyDescent="0.15">
      <c r="C88">
        <v>87</v>
      </c>
      <c r="D88">
        <f t="shared" si="6"/>
        <v>11.864174644702427</v>
      </c>
      <c r="E88">
        <f t="shared" si="7"/>
        <v>27.399137699326715</v>
      </c>
      <c r="F88">
        <f t="shared" si="8"/>
        <v>6.8063981578733668E-2</v>
      </c>
      <c r="G88">
        <f t="shared" si="9"/>
        <v>0.27225592631493467</v>
      </c>
      <c r="H88">
        <f t="shared" si="9"/>
        <v>0.34031990789366834</v>
      </c>
      <c r="I88">
        <f t="shared" si="9"/>
        <v>0.40838388947240201</v>
      </c>
      <c r="J88">
        <f t="shared" si="9"/>
        <v>0.47644787105113567</v>
      </c>
    </row>
    <row r="89" spans="3:10" x14ac:dyDescent="0.15">
      <c r="C89">
        <v>88</v>
      </c>
      <c r="D89">
        <f t="shared" si="6"/>
        <v>11.931394302427524</v>
      </c>
      <c r="E89">
        <f t="shared" si="7"/>
        <v>27.554374849256391</v>
      </c>
      <c r="F89">
        <f t="shared" si="8"/>
        <v>6.7684864934934252E-2</v>
      </c>
      <c r="G89">
        <f t="shared" si="9"/>
        <v>0.27073945973973701</v>
      </c>
      <c r="H89">
        <f t="shared" si="9"/>
        <v>0.33842432467467126</v>
      </c>
      <c r="I89">
        <f t="shared" si="9"/>
        <v>0.40610918960960551</v>
      </c>
      <c r="J89">
        <f t="shared" si="9"/>
        <v>0.47379405454453977</v>
      </c>
    </row>
    <row r="90" spans="3:10" x14ac:dyDescent="0.15">
      <c r="C90">
        <v>89</v>
      </c>
      <c r="D90">
        <f t="shared" si="6"/>
        <v>11.998237370547391</v>
      </c>
      <c r="E90">
        <f t="shared" si="7"/>
        <v>27.708742302746256</v>
      </c>
      <c r="F90">
        <f t="shared" si="8"/>
        <v>6.7312012766565316E-2</v>
      </c>
      <c r="G90">
        <f t="shared" si="9"/>
        <v>0.26924805106626126</v>
      </c>
      <c r="H90">
        <f t="shared" si="9"/>
        <v>0.33656006383282655</v>
      </c>
      <c r="I90">
        <f t="shared" si="9"/>
        <v>0.40387207659939189</v>
      </c>
      <c r="J90">
        <f t="shared" si="9"/>
        <v>0.47118408936595724</v>
      </c>
    </row>
    <row r="91" spans="3:10" x14ac:dyDescent="0.15">
      <c r="C91">
        <v>90</v>
      </c>
      <c r="D91">
        <f t="shared" si="6"/>
        <v>12.064710108411225</v>
      </c>
      <c r="E91">
        <f t="shared" si="7"/>
        <v>27.862254515144077</v>
      </c>
      <c r="F91">
        <f t="shared" si="8"/>
        <v>6.6945254452172143E-2</v>
      </c>
      <c r="G91">
        <f t="shared" si="9"/>
        <v>0.26778101780868857</v>
      </c>
      <c r="H91">
        <f t="shared" si="9"/>
        <v>0.33472627226086071</v>
      </c>
      <c r="I91">
        <f t="shared" si="9"/>
        <v>0.40167152671303286</v>
      </c>
      <c r="J91">
        <f t="shared" si="9"/>
        <v>0.468616781165205</v>
      </c>
    </row>
    <row r="92" spans="3:10" x14ac:dyDescent="0.15">
      <c r="C92">
        <v>91</v>
      </c>
      <c r="D92">
        <f t="shared" si="6"/>
        <v>12.130818603870063</v>
      </c>
      <c r="E92">
        <f t="shared" si="7"/>
        <v>28.014925545739601</v>
      </c>
      <c r="F92">
        <f t="shared" si="8"/>
        <v>6.658442580533587E-2</v>
      </c>
      <c r="G92">
        <f t="shared" si="9"/>
        <v>0.26633770322134348</v>
      </c>
      <c r="H92">
        <f t="shared" si="9"/>
        <v>0.33292212902667934</v>
      </c>
      <c r="I92">
        <f t="shared" si="9"/>
        <v>0.39950655483201525</v>
      </c>
      <c r="J92">
        <f t="shared" si="9"/>
        <v>0.4660909806373511</v>
      </c>
    </row>
    <row r="93" spans="3:10" x14ac:dyDescent="0.15">
      <c r="C93">
        <v>92</v>
      </c>
      <c r="D93">
        <f t="shared" si="6"/>
        <v>12.196568779783926</v>
      </c>
      <c r="E93">
        <f t="shared" si="7"/>
        <v>28.166769072792135</v>
      </c>
      <c r="F93">
        <f t="shared" si="8"/>
        <v>6.6229368765996721E-2</v>
      </c>
      <c r="G93">
        <f t="shared" si="9"/>
        <v>0.26491747506398688</v>
      </c>
      <c r="H93">
        <f t="shared" si="9"/>
        <v>0.33114684382998361</v>
      </c>
      <c r="I93">
        <f t="shared" si="9"/>
        <v>0.39737621259598033</v>
      </c>
      <c r="J93">
        <f t="shared" si="9"/>
        <v>0.46360558136197705</v>
      </c>
    </row>
    <row r="94" spans="3:10" x14ac:dyDescent="0.15">
      <c r="C94">
        <v>93</v>
      </c>
      <c r="D94">
        <f t="shared" si="6"/>
        <v>12.261966400214934</v>
      </c>
      <c r="E94">
        <f t="shared" si="7"/>
        <v>28.317798407832953</v>
      </c>
      <c r="F94">
        <f t="shared" si="8"/>
        <v>6.5879931109680864E-2</v>
      </c>
      <c r="G94">
        <f t="shared" si="9"/>
        <v>0.26351972443872346</v>
      </c>
      <c r="H94">
        <f t="shared" si="9"/>
        <v>0.32939965554840434</v>
      </c>
      <c r="I94">
        <f t="shared" si="9"/>
        <v>0.39527958665808516</v>
      </c>
      <c r="J94">
        <f t="shared" si="9"/>
        <v>0.46115951776776604</v>
      </c>
    </row>
    <row r="95" spans="3:10" x14ac:dyDescent="0.15">
      <c r="C95">
        <v>94</v>
      </c>
      <c r="D95">
        <f t="shared" si="6"/>
        <v>12.327017076324669</v>
      </c>
      <c r="E95">
        <f t="shared" si="7"/>
        <v>28.468026509284641</v>
      </c>
      <c r="F95">
        <f t="shared" si="8"/>
        <v>6.5535966173417476E-2</v>
      </c>
      <c r="G95">
        <f t="shared" si="9"/>
        <v>0.2621438646936699</v>
      </c>
      <c r="H95">
        <f t="shared" si="9"/>
        <v>0.32767983086708741</v>
      </c>
      <c r="I95">
        <f t="shared" si="9"/>
        <v>0.39321579704050486</v>
      </c>
      <c r="J95">
        <f t="shared" si="9"/>
        <v>0.4587517632139223</v>
      </c>
    </row>
    <row r="96" spans="3:10" x14ac:dyDescent="0.15">
      <c r="C96">
        <v>95</v>
      </c>
      <c r="D96">
        <f t="shared" si="6"/>
        <v>12.391726271992937</v>
      </c>
      <c r="E96">
        <f t="shared" si="7"/>
        <v>28.617465995437119</v>
      </c>
      <c r="F96">
        <f t="shared" si="8"/>
        <v>6.5197332597224461E-2</v>
      </c>
      <c r="G96">
        <f t="shared" si="9"/>
        <v>0.26078933038889784</v>
      </c>
      <c r="H96">
        <f t="shared" si="9"/>
        <v>0.32598666298612233</v>
      </c>
      <c r="I96">
        <f t="shared" si="9"/>
        <v>0.39118399558334677</v>
      </c>
      <c r="J96">
        <f t="shared" si="9"/>
        <v>0.4563813281805712</v>
      </c>
    </row>
    <row r="97" spans="3:10" x14ac:dyDescent="0.15">
      <c r="C97">
        <v>96</v>
      </c>
      <c r="D97">
        <f t="shared" si="6"/>
        <v>12.456099309173799</v>
      </c>
      <c r="E97">
        <f t="shared" si="7"/>
        <v>28.766129156816817</v>
      </c>
      <c r="F97">
        <f t="shared" si="8"/>
        <v>6.4863894080129533E-2</v>
      </c>
      <c r="G97">
        <f t="shared" si="9"/>
        <v>0.25945557632051813</v>
      </c>
      <c r="H97">
        <f t="shared" si="9"/>
        <v>0.32431947040064768</v>
      </c>
      <c r="I97">
        <f t="shared" si="9"/>
        <v>0.38918336448077717</v>
      </c>
      <c r="J97">
        <f t="shared" si="9"/>
        <v>0.45404725856090672</v>
      </c>
    </row>
    <row r="98" spans="3:10" x14ac:dyDescent="0.15">
      <c r="C98">
        <v>97</v>
      </c>
      <c r="D98">
        <f t="shared" si="6"/>
        <v>12.520141373003739</v>
      </c>
      <c r="E98">
        <f t="shared" si="7"/>
        <v>28.914027967983515</v>
      </c>
      <c r="F98">
        <f t="shared" si="8"/>
        <v>6.4535519149770196E-2</v>
      </c>
      <c r="G98">
        <f t="shared" si="9"/>
        <v>0.25814207659908078</v>
      </c>
      <c r="H98">
        <f t="shared" si="9"/>
        <v>0.32267759574885096</v>
      </c>
      <c r="I98">
        <f t="shared" si="9"/>
        <v>0.3872131148986212</v>
      </c>
      <c r="J98">
        <f t="shared" si="9"/>
        <v>0.45174863404839138</v>
      </c>
    </row>
    <row r="99" spans="3:10" x14ac:dyDescent="0.15">
      <c r="C99">
        <v>98</v>
      </c>
      <c r="D99">
        <f t="shared" si="6"/>
        <v>12.583857516675877</v>
      </c>
      <c r="E99">
        <f t="shared" si="7"/>
        <v>29.06117409878685</v>
      </c>
      <c r="F99">
        <f t="shared" si="8"/>
        <v>6.4212080944688291E-2</v>
      </c>
      <c r="G99">
        <f t="shared" si="9"/>
        <v>0.25684832377875316</v>
      </c>
      <c r="H99">
        <f t="shared" si="9"/>
        <v>0.32106040472344144</v>
      </c>
      <c r="I99">
        <f t="shared" si="9"/>
        <v>0.38527248566812977</v>
      </c>
      <c r="J99">
        <f t="shared" si="9"/>
        <v>0.44948456661281805</v>
      </c>
    </row>
    <row r="100" spans="3:10" x14ac:dyDescent="0.15">
      <c r="C100">
        <v>99</v>
      </c>
      <c r="D100">
        <f t="shared" si="6"/>
        <v>12.64725266609314</v>
      </c>
      <c r="E100">
        <f t="shared" si="7"/>
        <v>29.207578925112344</v>
      </c>
      <c r="F100">
        <f t="shared" si="8"/>
        <v>6.3893457008501658E-2</v>
      </c>
      <c r="G100">
        <f t="shared" si="9"/>
        <v>0.25557382803400663</v>
      </c>
      <c r="H100">
        <f t="shared" si="9"/>
        <v>0.31946728504250832</v>
      </c>
      <c r="I100">
        <f t="shared" si="9"/>
        <v>0.38336074205100995</v>
      </c>
      <c r="J100">
        <f t="shared" si="9"/>
        <v>0.44725419905951158</v>
      </c>
    </row>
    <row r="101" spans="3:10" x14ac:dyDescent="0.15">
      <c r="C101">
        <v>100</v>
      </c>
      <c r="D101">
        <f t="shared" si="6"/>
        <v>12.710331624312561</v>
      </c>
      <c r="E101">
        <f t="shared" si="7"/>
        <v>29.353253539145083</v>
      </c>
      <c r="F101">
        <f t="shared" si="8"/>
        <v>6.3579529095193751E-2</v>
      </c>
      <c r="G101">
        <f t="shared" si="9"/>
        <v>0.25431811638077501</v>
      </c>
      <c r="H101">
        <f t="shared" si="9"/>
        <v>0.31789764547596877</v>
      </c>
      <c r="I101">
        <f t="shared" si="9"/>
        <v>0.38147717457116248</v>
      </c>
      <c r="J101">
        <f t="shared" si="9"/>
        <v>0.44505670366635625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101"/>
  <sheetViews>
    <sheetView workbookViewId="0">
      <selection activeCell="D2" sqref="D2"/>
    </sheetView>
  </sheetViews>
  <sheetFormatPr defaultRowHeight="13.5" x14ac:dyDescent="0.15"/>
  <sheetData>
    <row r="1" spans="3:10" x14ac:dyDescent="0.15">
      <c r="D1" t="s">
        <v>0</v>
      </c>
      <c r="E1" t="s">
        <v>1</v>
      </c>
      <c r="F1" t="s">
        <v>2</v>
      </c>
      <c r="G1">
        <v>10</v>
      </c>
      <c r="H1">
        <v>15</v>
      </c>
      <c r="I1">
        <v>20</v>
      </c>
      <c r="J1">
        <v>25</v>
      </c>
    </row>
    <row r="2" spans="3:10" x14ac:dyDescent="0.15">
      <c r="C2">
        <v>1</v>
      </c>
      <c r="D2">
        <f>(1.3*(C2+1))^0.5</f>
        <v>1.61245154965971</v>
      </c>
      <c r="E2">
        <f>4*3^0.5*D2/3</f>
        <v>3.723797345005051</v>
      </c>
      <c r="F2">
        <f>(8+16*C2)/E2^3</f>
        <v>0.46478609613136268</v>
      </c>
      <c r="G2">
        <f>$F2*G$1</f>
        <v>4.6478609613136266</v>
      </c>
      <c r="H2">
        <f t="shared" ref="H2:J17" si="0">$F2*H$1</f>
        <v>6.9717914419704403</v>
      </c>
      <c r="I2">
        <f t="shared" si="0"/>
        <v>9.2957219226272532</v>
      </c>
      <c r="J2">
        <f t="shared" si="0"/>
        <v>11.619652403284068</v>
      </c>
    </row>
    <row r="3" spans="3:10" x14ac:dyDescent="0.15">
      <c r="C3">
        <v>2</v>
      </c>
      <c r="D3">
        <f t="shared" ref="D3:D66" si="1">(1.3*(C3+1))^0.5</f>
        <v>1.9748417658131501</v>
      </c>
      <c r="E3">
        <f t="shared" ref="E3:E66" si="2">4*3^0.5*D3/3</f>
        <v>4.5607017003965522</v>
      </c>
      <c r="F3">
        <f t="shared" ref="F3:F66" si="3">(8+16*C3)/E3^3</f>
        <v>0.42166250928222548</v>
      </c>
      <c r="G3">
        <f t="shared" ref="G3:J34" si="4">$F3*G$1</f>
        <v>4.2166250928222553</v>
      </c>
      <c r="H3">
        <f t="shared" si="0"/>
        <v>6.324937639233382</v>
      </c>
      <c r="I3">
        <f t="shared" si="0"/>
        <v>8.4332501856445106</v>
      </c>
      <c r="J3">
        <f t="shared" si="0"/>
        <v>10.541562732055636</v>
      </c>
    </row>
    <row r="4" spans="3:10" x14ac:dyDescent="0.15">
      <c r="C4">
        <v>3</v>
      </c>
      <c r="D4">
        <f t="shared" si="1"/>
        <v>2.2803508501982761</v>
      </c>
      <c r="E4">
        <f t="shared" si="2"/>
        <v>5.2662447088350666</v>
      </c>
      <c r="F4">
        <f t="shared" si="3"/>
        <v>0.38342896710499397</v>
      </c>
      <c r="G4">
        <f t="shared" si="4"/>
        <v>3.8342896710499397</v>
      </c>
      <c r="H4">
        <f t="shared" si="0"/>
        <v>5.7514345065749097</v>
      </c>
      <c r="I4">
        <f t="shared" si="0"/>
        <v>7.6685793420998793</v>
      </c>
      <c r="J4">
        <f t="shared" si="0"/>
        <v>9.585724177624849</v>
      </c>
    </row>
    <row r="5" spans="3:10" x14ac:dyDescent="0.15">
      <c r="C5">
        <v>4</v>
      </c>
      <c r="D5">
        <f t="shared" si="1"/>
        <v>2.5495097567963922</v>
      </c>
      <c r="E5">
        <f t="shared" si="2"/>
        <v>5.8878405775518976</v>
      </c>
      <c r="F5">
        <f t="shared" si="3"/>
        <v>0.3527478452527395</v>
      </c>
      <c r="G5">
        <f t="shared" si="4"/>
        <v>3.527478452527395</v>
      </c>
      <c r="H5">
        <f t="shared" si="0"/>
        <v>5.2912176787910923</v>
      </c>
      <c r="I5">
        <f t="shared" si="0"/>
        <v>7.05495690505479</v>
      </c>
      <c r="J5">
        <f t="shared" si="0"/>
        <v>8.8186961313184877</v>
      </c>
    </row>
    <row r="6" spans="3:10" x14ac:dyDescent="0.15">
      <c r="C6">
        <v>5</v>
      </c>
      <c r="D6">
        <f t="shared" si="1"/>
        <v>2.7928480087537886</v>
      </c>
      <c r="E6">
        <f t="shared" si="2"/>
        <v>6.4498061986388402</v>
      </c>
      <c r="F6">
        <f t="shared" si="3"/>
        <v>0.32797646165415689</v>
      </c>
      <c r="G6">
        <f t="shared" si="4"/>
        <v>3.279764616541569</v>
      </c>
      <c r="H6">
        <f t="shared" si="0"/>
        <v>4.9196469248123531</v>
      </c>
      <c r="I6">
        <f t="shared" si="0"/>
        <v>6.5595292330831381</v>
      </c>
      <c r="J6">
        <f t="shared" si="0"/>
        <v>8.199411541353923</v>
      </c>
    </row>
    <row r="7" spans="3:10" x14ac:dyDescent="0.15">
      <c r="C7">
        <v>6</v>
      </c>
      <c r="D7">
        <f t="shared" si="1"/>
        <v>3.0166206257996713</v>
      </c>
      <c r="E7">
        <f t="shared" si="2"/>
        <v>6.9665869213936702</v>
      </c>
      <c r="F7">
        <f t="shared" si="3"/>
        <v>0.30759067058743633</v>
      </c>
      <c r="G7" s="1">
        <f t="shared" si="4"/>
        <v>3.0759067058743632</v>
      </c>
      <c r="H7">
        <f t="shared" si="0"/>
        <v>4.6138600588115448</v>
      </c>
      <c r="I7">
        <f t="shared" si="0"/>
        <v>6.1518134117487264</v>
      </c>
      <c r="J7">
        <f t="shared" si="0"/>
        <v>7.689766764685908</v>
      </c>
    </row>
    <row r="8" spans="3:10" x14ac:dyDescent="0.15">
      <c r="C8">
        <v>7</v>
      </c>
      <c r="D8">
        <f t="shared" si="1"/>
        <v>3.2249030993194201</v>
      </c>
      <c r="E8">
        <f t="shared" si="2"/>
        <v>7.447594690010102</v>
      </c>
      <c r="F8">
        <f t="shared" si="3"/>
        <v>0.29049131008210166</v>
      </c>
      <c r="G8">
        <f t="shared" si="4"/>
        <v>2.9049131008210165</v>
      </c>
      <c r="H8">
        <f t="shared" si="0"/>
        <v>4.357369651231525</v>
      </c>
      <c r="I8">
        <f t="shared" si="0"/>
        <v>5.809826201642033</v>
      </c>
      <c r="J8">
        <f t="shared" si="0"/>
        <v>7.2622827520525419</v>
      </c>
    </row>
    <row r="9" spans="3:10" x14ac:dyDescent="0.15">
      <c r="C9">
        <v>8</v>
      </c>
      <c r="D9">
        <f t="shared" si="1"/>
        <v>3.4205262752974139</v>
      </c>
      <c r="E9">
        <f t="shared" si="2"/>
        <v>7.8993670632525985</v>
      </c>
      <c r="F9">
        <f t="shared" si="3"/>
        <v>0.27590655834010158</v>
      </c>
      <c r="G9">
        <f t="shared" si="4"/>
        <v>2.759065583401016</v>
      </c>
      <c r="H9">
        <f t="shared" si="0"/>
        <v>4.1385983751015241</v>
      </c>
      <c r="I9">
        <f t="shared" si="0"/>
        <v>5.5181311668020321</v>
      </c>
      <c r="J9">
        <f t="shared" si="0"/>
        <v>6.8976639585025392</v>
      </c>
    </row>
    <row r="10" spans="3:10" x14ac:dyDescent="0.15">
      <c r="C10">
        <v>9</v>
      </c>
      <c r="D10">
        <f t="shared" si="1"/>
        <v>3.6055512754639891</v>
      </c>
      <c r="E10">
        <f t="shared" si="2"/>
        <v>8.3266639978645305</v>
      </c>
      <c r="F10">
        <f t="shared" si="3"/>
        <v>0.26328763750644135</v>
      </c>
      <c r="G10">
        <f t="shared" si="4"/>
        <v>2.6328763750644137</v>
      </c>
      <c r="H10">
        <f t="shared" si="0"/>
        <v>3.9493145625966202</v>
      </c>
      <c r="I10">
        <f t="shared" si="0"/>
        <v>5.2657527501288275</v>
      </c>
      <c r="J10">
        <f t="shared" si="0"/>
        <v>6.5821909376610339</v>
      </c>
    </row>
    <row r="11" spans="3:10" x14ac:dyDescent="0.15">
      <c r="C11">
        <v>10</v>
      </c>
      <c r="D11">
        <f t="shared" si="1"/>
        <v>3.7815340802378077</v>
      </c>
      <c r="E11">
        <f t="shared" si="2"/>
        <v>8.7330788767001675</v>
      </c>
      <c r="F11">
        <f t="shared" si="3"/>
        <v>0.25223603655685051</v>
      </c>
      <c r="G11">
        <f t="shared" si="4"/>
        <v>2.5223603655685052</v>
      </c>
      <c r="H11">
        <f t="shared" si="0"/>
        <v>3.7835405483527578</v>
      </c>
      <c r="I11">
        <f t="shared" si="0"/>
        <v>5.0447207311370104</v>
      </c>
      <c r="J11">
        <f t="shared" si="0"/>
        <v>6.3059009139212625</v>
      </c>
    </row>
    <row r="12" spans="3:10" x14ac:dyDescent="0.15">
      <c r="C12">
        <v>11</v>
      </c>
      <c r="D12">
        <f t="shared" si="1"/>
        <v>3.9496835316263001</v>
      </c>
      <c r="E12">
        <f t="shared" si="2"/>
        <v>9.1214034007931044</v>
      </c>
      <c r="F12">
        <f t="shared" si="3"/>
        <v>0.24245594283727964</v>
      </c>
      <c r="G12">
        <f t="shared" si="4"/>
        <v>2.4245594283727963</v>
      </c>
      <c r="H12">
        <f t="shared" si="0"/>
        <v>3.6368391425591948</v>
      </c>
      <c r="I12">
        <f t="shared" si="0"/>
        <v>4.8491188567455925</v>
      </c>
      <c r="J12">
        <f t="shared" si="0"/>
        <v>6.0613985709319911</v>
      </c>
    </row>
    <row r="13" spans="3:10" x14ac:dyDescent="0.15">
      <c r="C13">
        <v>12</v>
      </c>
      <c r="D13">
        <f t="shared" si="1"/>
        <v>4.1109609582188931</v>
      </c>
      <c r="E13">
        <f t="shared" si="2"/>
        <v>9.4938576634228777</v>
      </c>
      <c r="F13">
        <f t="shared" si="3"/>
        <v>0.23372321240832661</v>
      </c>
      <c r="G13">
        <f t="shared" si="4"/>
        <v>2.3372321240832661</v>
      </c>
      <c r="H13">
        <f t="shared" si="0"/>
        <v>3.5058481861248989</v>
      </c>
      <c r="I13">
        <f t="shared" si="0"/>
        <v>4.6744642481665322</v>
      </c>
      <c r="J13">
        <f t="shared" si="0"/>
        <v>5.8430803102081654</v>
      </c>
    </row>
    <row r="14" spans="3:10" x14ac:dyDescent="0.15">
      <c r="C14">
        <v>13</v>
      </c>
      <c r="D14">
        <f t="shared" si="1"/>
        <v>4.2661458015403086</v>
      </c>
      <c r="E14">
        <f t="shared" si="2"/>
        <v>9.8522417076859554</v>
      </c>
      <c r="F14">
        <f t="shared" si="3"/>
        <v>0.22586481242525122</v>
      </c>
      <c r="G14">
        <f t="shared" si="4"/>
        <v>2.2586481242525123</v>
      </c>
      <c r="H14">
        <f t="shared" si="0"/>
        <v>3.3879721863787684</v>
      </c>
      <c r="I14">
        <f t="shared" si="0"/>
        <v>4.5172962485050245</v>
      </c>
      <c r="J14">
        <f t="shared" si="0"/>
        <v>5.6466203106312802</v>
      </c>
    </row>
    <row r="15" spans="3:10" x14ac:dyDescent="0.15">
      <c r="C15">
        <v>14</v>
      </c>
      <c r="D15">
        <f t="shared" si="1"/>
        <v>4.4158804331639239</v>
      </c>
      <c r="E15">
        <f t="shared" si="2"/>
        <v>10.198039027185571</v>
      </c>
      <c r="F15">
        <f t="shared" si="3"/>
        <v>0.21874491996182058</v>
      </c>
      <c r="G15">
        <f t="shared" si="4"/>
        <v>2.1874491996182059</v>
      </c>
      <c r="H15">
        <f t="shared" si="0"/>
        <v>3.2811737994273087</v>
      </c>
      <c r="I15">
        <f t="shared" si="0"/>
        <v>4.3748983992364119</v>
      </c>
      <c r="J15">
        <f t="shared" si="0"/>
        <v>5.4686229990455146</v>
      </c>
    </row>
    <row r="16" spans="3:10" x14ac:dyDescent="0.15">
      <c r="C16">
        <v>15</v>
      </c>
      <c r="D16">
        <f t="shared" si="1"/>
        <v>4.5607017003965522</v>
      </c>
      <c r="E16">
        <f t="shared" si="2"/>
        <v>10.532489417670133</v>
      </c>
      <c r="F16">
        <f t="shared" si="3"/>
        <v>0.2122553210759788</v>
      </c>
      <c r="G16">
        <f t="shared" si="4"/>
        <v>2.1225532107597882</v>
      </c>
      <c r="H16">
        <f t="shared" si="0"/>
        <v>3.1838298161396819</v>
      </c>
      <c r="I16">
        <f t="shared" si="0"/>
        <v>4.2451064215195764</v>
      </c>
      <c r="J16">
        <f t="shared" si="0"/>
        <v>5.3063830268994705</v>
      </c>
    </row>
    <row r="17" spans="3:10" x14ac:dyDescent="0.15">
      <c r="C17">
        <v>16</v>
      </c>
      <c r="D17">
        <f t="shared" si="1"/>
        <v>4.7010637094172631</v>
      </c>
      <c r="E17">
        <f t="shared" si="2"/>
        <v>10.85664159243855</v>
      </c>
      <c r="F17">
        <f t="shared" si="3"/>
        <v>0.20630864392584167</v>
      </c>
      <c r="G17">
        <f t="shared" si="4"/>
        <v>2.0630864392584165</v>
      </c>
      <c r="H17">
        <f t="shared" si="0"/>
        <v>3.0946296588876252</v>
      </c>
      <c r="I17">
        <f t="shared" si="0"/>
        <v>4.126172878516833</v>
      </c>
      <c r="J17">
        <f t="shared" si="0"/>
        <v>5.1577160981460413</v>
      </c>
    </row>
    <row r="18" spans="3:10" x14ac:dyDescent="0.15">
      <c r="C18">
        <v>17</v>
      </c>
      <c r="D18">
        <f t="shared" si="1"/>
        <v>4.8373546489791304</v>
      </c>
      <c r="E18">
        <f t="shared" si="2"/>
        <v>11.171392035015153</v>
      </c>
      <c r="F18">
        <f t="shared" si="3"/>
        <v>0.20083349832836661</v>
      </c>
      <c r="G18">
        <f t="shared" si="4"/>
        <v>2.0083349832836661</v>
      </c>
      <c r="H18" s="1">
        <f t="shared" si="4"/>
        <v>3.0125024749254994</v>
      </c>
      <c r="I18">
        <f t="shared" si="4"/>
        <v>4.0166699665673322</v>
      </c>
      <c r="J18">
        <f t="shared" si="4"/>
        <v>5.020837458209165</v>
      </c>
    </row>
    <row r="19" spans="3:10" x14ac:dyDescent="0.15">
      <c r="C19">
        <v>18</v>
      </c>
      <c r="D19">
        <f t="shared" si="1"/>
        <v>4.9699094559156709</v>
      </c>
      <c r="E19">
        <f t="shared" si="2"/>
        <v>11.477514248883915</v>
      </c>
      <c r="F19">
        <f t="shared" si="3"/>
        <v>0.19577092339236551</v>
      </c>
      <c r="G19">
        <f t="shared" si="4"/>
        <v>1.957709233923655</v>
      </c>
      <c r="H19">
        <f t="shared" si="4"/>
        <v>2.9365638508854826</v>
      </c>
      <c r="I19">
        <f t="shared" si="4"/>
        <v>3.9154184678473101</v>
      </c>
      <c r="J19">
        <f t="shared" si="4"/>
        <v>4.8942730848091376</v>
      </c>
    </row>
    <row r="20" spans="3:10" x14ac:dyDescent="0.15">
      <c r="C20">
        <v>19</v>
      </c>
      <c r="D20">
        <f t="shared" si="1"/>
        <v>5.0990195135927845</v>
      </c>
      <c r="E20">
        <f t="shared" si="2"/>
        <v>11.775681155103795</v>
      </c>
      <c r="F20">
        <f t="shared" si="3"/>
        <v>0.19107174951190056</v>
      </c>
      <c r="G20">
        <f t="shared" si="4"/>
        <v>1.9107174951190056</v>
      </c>
      <c r="H20">
        <f t="shared" si="4"/>
        <v>2.8660762426785085</v>
      </c>
      <c r="I20">
        <f t="shared" si="4"/>
        <v>3.8214349902380111</v>
      </c>
      <c r="J20">
        <f t="shared" si="4"/>
        <v>4.7767937377975143</v>
      </c>
    </row>
    <row r="21" spans="3:10" x14ac:dyDescent="0.15">
      <c r="C21">
        <v>20</v>
      </c>
      <c r="D21">
        <f t="shared" si="1"/>
        <v>5.2249401910452526</v>
      </c>
      <c r="E21">
        <f t="shared" si="2"/>
        <v>12.066482503198685</v>
      </c>
      <c r="F21">
        <f t="shared" si="3"/>
        <v>0.18669461064150847</v>
      </c>
      <c r="G21">
        <f t="shared" si="4"/>
        <v>1.8669461064150847</v>
      </c>
      <c r="H21">
        <f t="shared" si="4"/>
        <v>2.8004191596226269</v>
      </c>
      <c r="I21">
        <f t="shared" si="4"/>
        <v>3.7338922128301695</v>
      </c>
      <c r="J21">
        <f t="shared" si="4"/>
        <v>4.6673652660377121</v>
      </c>
    </row>
    <row r="22" spans="3:10" x14ac:dyDescent="0.15">
      <c r="C22">
        <v>21</v>
      </c>
      <c r="D22">
        <f t="shared" si="1"/>
        <v>5.347896782848375</v>
      </c>
      <c r="E22">
        <f t="shared" si="2"/>
        <v>12.350438588703371</v>
      </c>
      <c r="F22">
        <f t="shared" si="3"/>
        <v>0.18260442647822808</v>
      </c>
      <c r="G22">
        <f t="shared" si="4"/>
        <v>1.8260442647822808</v>
      </c>
      <c r="H22">
        <f t="shared" si="4"/>
        <v>2.739066397173421</v>
      </c>
      <c r="I22">
        <f t="shared" si="4"/>
        <v>3.6520885295645615</v>
      </c>
      <c r="J22">
        <f t="shared" si="4"/>
        <v>4.5651106619557025</v>
      </c>
    </row>
    <row r="23" spans="3:10" x14ac:dyDescent="0.15">
      <c r="C23">
        <v>22</v>
      </c>
      <c r="D23">
        <f t="shared" si="1"/>
        <v>5.4680892457969268</v>
      </c>
      <c r="E23">
        <f t="shared" si="2"/>
        <v>12.628011192055013</v>
      </c>
      <c r="F23">
        <f t="shared" si="3"/>
        <v>0.17877122923619004</v>
      </c>
      <c r="G23">
        <f t="shared" si="4"/>
        <v>1.7877122923619004</v>
      </c>
      <c r="H23">
        <f t="shared" si="4"/>
        <v>2.6815684385428504</v>
      </c>
      <c r="I23">
        <f t="shared" si="4"/>
        <v>3.5754245847238009</v>
      </c>
      <c r="J23">
        <f t="shared" si="4"/>
        <v>4.4692807309047513</v>
      </c>
    </row>
    <row r="24" spans="3:10" x14ac:dyDescent="0.15">
      <c r="C24">
        <v>23</v>
      </c>
      <c r="D24">
        <f t="shared" si="1"/>
        <v>5.5856960175075772</v>
      </c>
      <c r="E24">
        <f t="shared" si="2"/>
        <v>12.89961239727768</v>
      </c>
      <c r="F24">
        <f t="shared" si="3"/>
        <v>0.17516924656528832</v>
      </c>
      <c r="G24">
        <f t="shared" si="4"/>
        <v>1.7516924656528832</v>
      </c>
      <c r="H24">
        <f t="shared" si="4"/>
        <v>2.6275386984793245</v>
      </c>
      <c r="I24">
        <f t="shared" si="4"/>
        <v>3.5033849313057663</v>
      </c>
      <c r="J24">
        <f t="shared" si="4"/>
        <v>4.3792311641322081</v>
      </c>
    </row>
    <row r="25" spans="3:10" x14ac:dyDescent="0.15">
      <c r="C25">
        <v>24</v>
      </c>
      <c r="D25">
        <f t="shared" si="1"/>
        <v>5.7008771254956896</v>
      </c>
      <c r="E25">
        <f t="shared" si="2"/>
        <v>13.165611772087665</v>
      </c>
      <c r="F25">
        <f t="shared" si="3"/>
        <v>0.17177617726303732</v>
      </c>
      <c r="G25">
        <f t="shared" si="4"/>
        <v>1.7177617726303731</v>
      </c>
      <c r="H25">
        <f t="shared" si="4"/>
        <v>2.5766426589455595</v>
      </c>
      <c r="I25">
        <f t="shared" si="4"/>
        <v>3.4355235452607462</v>
      </c>
      <c r="J25">
        <f t="shared" si="4"/>
        <v>4.2944044315759333</v>
      </c>
    </row>
    <row r="26" spans="3:10" x14ac:dyDescent="0.15">
      <c r="C26">
        <v>25</v>
      </c>
      <c r="D26">
        <f t="shared" si="1"/>
        <v>5.8137767414994537</v>
      </c>
      <c r="E26">
        <f t="shared" si="2"/>
        <v>13.426342266852378</v>
      </c>
      <c r="F26">
        <f t="shared" si="3"/>
        <v>0.1685726137829241</v>
      </c>
      <c r="G26">
        <f t="shared" si="4"/>
        <v>1.685726137829241</v>
      </c>
      <c r="H26">
        <f t="shared" si="4"/>
        <v>2.5285892067438613</v>
      </c>
      <c r="I26">
        <f t="shared" si="4"/>
        <v>3.3714522756584819</v>
      </c>
      <c r="J26">
        <f t="shared" si="4"/>
        <v>4.2143153445731025</v>
      </c>
    </row>
    <row r="27" spans="3:10" x14ac:dyDescent="0.15">
      <c r="C27">
        <v>26</v>
      </c>
      <c r="D27">
        <f t="shared" si="1"/>
        <v>5.92452529743945</v>
      </c>
      <c r="E27">
        <f t="shared" si="2"/>
        <v>13.682105101189656</v>
      </c>
      <c r="F27">
        <f t="shared" si="3"/>
        <v>0.16554157771820707</v>
      </c>
      <c r="G27">
        <f t="shared" si="4"/>
        <v>1.6554157771820708</v>
      </c>
      <c r="H27">
        <f t="shared" si="4"/>
        <v>2.4831236657731059</v>
      </c>
      <c r="I27">
        <f t="shared" si="4"/>
        <v>3.3108315543641416</v>
      </c>
      <c r="J27">
        <f t="shared" si="4"/>
        <v>4.1385394429551772</v>
      </c>
    </row>
    <row r="28" spans="3:10" x14ac:dyDescent="0.15">
      <c r="C28">
        <v>27</v>
      </c>
      <c r="D28">
        <f t="shared" si="1"/>
        <v>6.0332412515993425</v>
      </c>
      <c r="E28">
        <f t="shared" si="2"/>
        <v>13.93317384278734</v>
      </c>
      <c r="F28">
        <f t="shared" si="3"/>
        <v>0.162668143099125</v>
      </c>
      <c r="G28">
        <f t="shared" si="4"/>
        <v>1.6266814309912501</v>
      </c>
      <c r="H28">
        <f t="shared" si="4"/>
        <v>2.440022146486875</v>
      </c>
      <c r="I28">
        <f t="shared" si="4"/>
        <v>3.2533628619825001</v>
      </c>
      <c r="J28">
        <f t="shared" si="4"/>
        <v>4.0667035774781253</v>
      </c>
    </row>
    <row r="29" spans="3:10" x14ac:dyDescent="0.15">
      <c r="C29">
        <v>28</v>
      </c>
      <c r="D29">
        <f t="shared" si="1"/>
        <v>6.1400325732035004</v>
      </c>
      <c r="E29">
        <f t="shared" si="2"/>
        <v>14.179797835888445</v>
      </c>
      <c r="F29">
        <f t="shared" si="3"/>
        <v>0.1599391285779726</v>
      </c>
      <c r="G29">
        <f t="shared" si="4"/>
        <v>1.5993912857797259</v>
      </c>
      <c r="H29">
        <f t="shared" si="4"/>
        <v>2.3990869286695888</v>
      </c>
      <c r="I29">
        <f t="shared" si="4"/>
        <v>3.1987825715594518</v>
      </c>
      <c r="J29">
        <f t="shared" si="4"/>
        <v>3.9984782144493152</v>
      </c>
    </row>
    <row r="30" spans="3:10" x14ac:dyDescent="0.15">
      <c r="C30">
        <v>29</v>
      </c>
      <c r="D30">
        <f t="shared" si="1"/>
        <v>6.2449979983983983</v>
      </c>
      <c r="E30">
        <f t="shared" si="2"/>
        <v>14.422205101855956</v>
      </c>
      <c r="F30">
        <f t="shared" si="3"/>
        <v>0.15734284412157942</v>
      </c>
      <c r="G30">
        <f t="shared" si="4"/>
        <v>1.5734284412157942</v>
      </c>
      <c r="H30">
        <f t="shared" si="4"/>
        <v>2.3601426618236911</v>
      </c>
      <c r="I30">
        <f t="shared" si="4"/>
        <v>3.1468568824315883</v>
      </c>
      <c r="J30">
        <f t="shared" si="4"/>
        <v>3.9335711030394855</v>
      </c>
    </row>
    <row r="31" spans="3:10" x14ac:dyDescent="0.15">
      <c r="C31">
        <v>30</v>
      </c>
      <c r="D31">
        <f t="shared" si="1"/>
        <v>6.3482280992415516</v>
      </c>
      <c r="E31">
        <f t="shared" si="2"/>
        <v>14.660604807897023</v>
      </c>
      <c r="F31">
        <f t="shared" si="3"/>
        <v>0.15486888117991204</v>
      </c>
      <c r="G31">
        <f t="shared" si="4"/>
        <v>1.5486888117991204</v>
      </c>
      <c r="H31">
        <f t="shared" si="4"/>
        <v>2.3230332176986805</v>
      </c>
      <c r="I31">
        <f t="shared" si="4"/>
        <v>3.0973776235982409</v>
      </c>
      <c r="J31">
        <f t="shared" si="4"/>
        <v>3.8717220294978012</v>
      </c>
    </row>
    <row r="32" spans="3:10" x14ac:dyDescent="0.15">
      <c r="C32">
        <v>31</v>
      </c>
      <c r="D32">
        <f t="shared" si="1"/>
        <v>6.4498061986388402</v>
      </c>
      <c r="E32">
        <f t="shared" si="2"/>
        <v>14.895189380020204</v>
      </c>
      <c r="F32">
        <f t="shared" si="3"/>
        <v>0.15250793779310337</v>
      </c>
      <c r="G32">
        <f t="shared" si="4"/>
        <v>1.5250793779310337</v>
      </c>
      <c r="H32">
        <f t="shared" si="4"/>
        <v>2.2876190668965504</v>
      </c>
      <c r="I32">
        <f t="shared" si="4"/>
        <v>3.0501587558620673</v>
      </c>
      <c r="J32">
        <f t="shared" si="4"/>
        <v>3.8126984448275842</v>
      </c>
    </row>
    <row r="33" spans="3:10" x14ac:dyDescent="0.15">
      <c r="C33">
        <v>32</v>
      </c>
      <c r="D33">
        <f t="shared" si="1"/>
        <v>6.549809157525126</v>
      </c>
      <c r="E33">
        <f t="shared" si="2"/>
        <v>15.126136320951231</v>
      </c>
      <c r="F33">
        <f t="shared" si="3"/>
        <v>0.15025167197384801</v>
      </c>
      <c r="G33">
        <f t="shared" si="4"/>
        <v>1.5025167197384801</v>
      </c>
      <c r="H33">
        <f t="shared" si="4"/>
        <v>2.2537750796077201</v>
      </c>
      <c r="I33" s="1">
        <f t="shared" si="4"/>
        <v>3.0050334394769602</v>
      </c>
      <c r="J33">
        <f t="shared" si="4"/>
        <v>3.7562917993461999</v>
      </c>
    </row>
    <row r="34" spans="3:10" x14ac:dyDescent="0.15">
      <c r="C34">
        <v>33</v>
      </c>
      <c r="D34">
        <f t="shared" si="1"/>
        <v>6.6483080554378651</v>
      </c>
      <c r="E34">
        <f t="shared" si="2"/>
        <v>15.353609781850436</v>
      </c>
      <c r="F34">
        <f t="shared" si="3"/>
        <v>0.14809257812429313</v>
      </c>
      <c r="G34">
        <f t="shared" si="4"/>
        <v>1.4809257812429313</v>
      </c>
      <c r="H34">
        <f t="shared" si="4"/>
        <v>2.2213886718643971</v>
      </c>
      <c r="I34">
        <f t="shared" si="4"/>
        <v>2.9618515624858626</v>
      </c>
      <c r="J34">
        <f t="shared" si="4"/>
        <v>3.7023144531073284</v>
      </c>
    </row>
    <row r="35" spans="3:10" x14ac:dyDescent="0.15">
      <c r="C35">
        <v>34</v>
      </c>
      <c r="D35">
        <f t="shared" si="1"/>
        <v>6.7453687816160208</v>
      </c>
      <c r="E35">
        <f t="shared" si="2"/>
        <v>15.577761927397228</v>
      </c>
      <c r="F35">
        <f t="shared" si="3"/>
        <v>0.1460238823347676</v>
      </c>
      <c r="G35">
        <f t="shared" ref="G35:J66" si="5">$F35*G$1</f>
        <v>1.460238823347676</v>
      </c>
      <c r="H35">
        <f t="shared" si="5"/>
        <v>2.1903582350215141</v>
      </c>
      <c r="I35">
        <f t="shared" si="5"/>
        <v>2.9204776466953519</v>
      </c>
      <c r="J35">
        <f t="shared" si="5"/>
        <v>3.6505970583691898</v>
      </c>
    </row>
    <row r="36" spans="3:10" x14ac:dyDescent="0.15">
      <c r="C36">
        <v>35</v>
      </c>
      <c r="D36">
        <f t="shared" si="1"/>
        <v>6.8410525505948279</v>
      </c>
      <c r="E36">
        <f t="shared" si="2"/>
        <v>15.798734126505197</v>
      </c>
      <c r="F36">
        <f t="shared" si="3"/>
        <v>0.14403945325108244</v>
      </c>
      <c r="G36">
        <f t="shared" si="5"/>
        <v>1.4403945325108245</v>
      </c>
      <c r="H36">
        <f t="shared" si="5"/>
        <v>2.1605917987662369</v>
      </c>
      <c r="I36">
        <f t="shared" si="5"/>
        <v>2.880789065021649</v>
      </c>
      <c r="J36">
        <f t="shared" si="5"/>
        <v>3.6009863312770611</v>
      </c>
    </row>
    <row r="37" spans="3:10" x14ac:dyDescent="0.15">
      <c r="C37">
        <v>36</v>
      </c>
      <c r="D37">
        <f t="shared" si="1"/>
        <v>6.935416353759881</v>
      </c>
      <c r="E37">
        <f t="shared" si="2"/>
        <v>16.0166579951416</v>
      </c>
      <c r="F37">
        <f t="shared" si="3"/>
        <v>0.14213372584953862</v>
      </c>
      <c r="G37">
        <f t="shared" si="5"/>
        <v>1.4213372584953863</v>
      </c>
      <c r="H37">
        <f t="shared" si="5"/>
        <v>2.1320058877430794</v>
      </c>
      <c r="I37">
        <f t="shared" si="5"/>
        <v>2.8426745169907726</v>
      </c>
      <c r="J37">
        <f t="shared" si="5"/>
        <v>3.5533431462384657</v>
      </c>
    </row>
    <row r="38" spans="3:10" x14ac:dyDescent="0.15">
      <c r="C38">
        <v>37</v>
      </c>
      <c r="D38">
        <f t="shared" si="1"/>
        <v>7.0285133563222315</v>
      </c>
      <c r="E38">
        <f t="shared" si="2"/>
        <v>16.231656313102082</v>
      </c>
      <c r="F38">
        <f t="shared" si="3"/>
        <v>0.14030163596948689</v>
      </c>
      <c r="G38">
        <f t="shared" si="5"/>
        <v>1.4030163596948688</v>
      </c>
      <c r="H38">
        <f t="shared" si="5"/>
        <v>2.1045245395423033</v>
      </c>
      <c r="I38">
        <f t="shared" si="5"/>
        <v>2.8060327193897376</v>
      </c>
      <c r="J38">
        <f t="shared" si="5"/>
        <v>3.5075408992371724</v>
      </c>
    </row>
    <row r="39" spans="3:10" x14ac:dyDescent="0.15">
      <c r="C39">
        <v>38</v>
      </c>
      <c r="D39">
        <f t="shared" si="1"/>
        <v>7.1203932475671596</v>
      </c>
      <c r="E39">
        <f t="shared" si="2"/>
        <v>16.443843832875572</v>
      </c>
      <c r="F39">
        <f t="shared" si="3"/>
        <v>0.13853856385580635</v>
      </c>
      <c r="G39">
        <f t="shared" si="5"/>
        <v>1.3853856385580634</v>
      </c>
      <c r="H39">
        <f t="shared" si="5"/>
        <v>2.078078457837095</v>
      </c>
      <c r="I39">
        <f t="shared" si="5"/>
        <v>2.7707712771161268</v>
      </c>
      <c r="J39">
        <f t="shared" si="5"/>
        <v>3.4634640963951586</v>
      </c>
    </row>
    <row r="40" spans="3:10" x14ac:dyDescent="0.15">
      <c r="C40">
        <v>39</v>
      </c>
      <c r="D40">
        <f t="shared" si="1"/>
        <v>7.2111025509279782</v>
      </c>
      <c r="E40">
        <f t="shared" si="2"/>
        <v>16.653327995729061</v>
      </c>
      <c r="F40">
        <f t="shared" si="3"/>
        <v>0.13684028528295308</v>
      </c>
      <c r="G40">
        <f t="shared" si="5"/>
        <v>1.3684028528295309</v>
      </c>
      <c r="H40">
        <f t="shared" si="5"/>
        <v>2.0526042792442962</v>
      </c>
      <c r="I40">
        <f t="shared" si="5"/>
        <v>2.7368057056590618</v>
      </c>
      <c r="J40">
        <f t="shared" si="5"/>
        <v>3.4210071320738269</v>
      </c>
    </row>
    <row r="41" spans="3:10" x14ac:dyDescent="0.15">
      <c r="C41">
        <v>40</v>
      </c>
      <c r="D41">
        <f t="shared" si="1"/>
        <v>7.3006848993775924</v>
      </c>
      <c r="E41">
        <f t="shared" si="2"/>
        <v>16.860209567697154</v>
      </c>
      <c r="F41">
        <f t="shared" si="3"/>
        <v>0.13520292908704695</v>
      </c>
      <c r="G41">
        <f t="shared" si="5"/>
        <v>1.3520292908704694</v>
      </c>
      <c r="H41">
        <f t="shared" si="5"/>
        <v>2.0280439363057043</v>
      </c>
      <c r="I41">
        <f t="shared" si="5"/>
        <v>2.7040585817409388</v>
      </c>
      <c r="J41">
        <f t="shared" si="5"/>
        <v>3.3800732271761738</v>
      </c>
    </row>
    <row r="42" spans="3:10" x14ac:dyDescent="0.15">
      <c r="C42">
        <v>41</v>
      </c>
      <c r="D42">
        <f t="shared" si="1"/>
        <v>7.3891812807644666</v>
      </c>
      <c r="E42">
        <f t="shared" si="2"/>
        <v>17.064583206161235</v>
      </c>
      <c r="F42">
        <f t="shared" si="3"/>
        <v>0.13362294013700243</v>
      </c>
      <c r="G42">
        <f t="shared" si="5"/>
        <v>1.3362294013700242</v>
      </c>
      <c r="H42">
        <f t="shared" si="5"/>
        <v>2.0043441020550365</v>
      </c>
      <c r="I42">
        <f t="shared" si="5"/>
        <v>2.6724588027400484</v>
      </c>
      <c r="J42">
        <f t="shared" si="5"/>
        <v>3.3405735034250608</v>
      </c>
    </row>
    <row r="43" spans="3:10" x14ac:dyDescent="0.15">
      <c r="C43">
        <v>42</v>
      </c>
      <c r="D43">
        <f t="shared" si="1"/>
        <v>7.4766302570074972</v>
      </c>
      <c r="E43">
        <f t="shared" si="2"/>
        <v>17.266537966058316</v>
      </c>
      <c r="F43">
        <f t="shared" si="3"/>
        <v>0.13209704694080021</v>
      </c>
      <c r="G43">
        <f t="shared" si="5"/>
        <v>1.3209704694080022</v>
      </c>
      <c r="H43">
        <f t="shared" si="5"/>
        <v>1.9814557041120031</v>
      </c>
      <c r="I43">
        <f t="shared" si="5"/>
        <v>2.6419409388160044</v>
      </c>
      <c r="J43">
        <f t="shared" si="5"/>
        <v>3.3024261735200051</v>
      </c>
    </row>
    <row r="44" spans="3:10" x14ac:dyDescent="0.15">
      <c r="C44">
        <v>43</v>
      </c>
      <c r="D44">
        <f t="shared" si="1"/>
        <v>7.5630681604756154</v>
      </c>
      <c r="E44">
        <f t="shared" si="2"/>
        <v>17.466157753400335</v>
      </c>
      <c r="F44">
        <f t="shared" si="3"/>
        <v>0.13062223321694044</v>
      </c>
      <c r="G44">
        <f t="shared" si="5"/>
        <v>1.3062223321694044</v>
      </c>
      <c r="H44">
        <f t="shared" si="5"/>
        <v>1.9593334982541066</v>
      </c>
      <c r="I44">
        <f t="shared" si="5"/>
        <v>2.6124446643388088</v>
      </c>
      <c r="J44">
        <f t="shared" si="5"/>
        <v>3.2655558304235113</v>
      </c>
    </row>
    <row r="45" spans="3:10" x14ac:dyDescent="0.15">
      <c r="C45">
        <v>44</v>
      </c>
      <c r="D45">
        <f t="shared" si="1"/>
        <v>7.6485292703891776</v>
      </c>
      <c r="E45">
        <f t="shared" si="2"/>
        <v>17.663521732655692</v>
      </c>
      <c r="F45">
        <f t="shared" si="3"/>
        <v>0.12919571287034493</v>
      </c>
      <c r="G45">
        <f t="shared" si="5"/>
        <v>1.2919571287034493</v>
      </c>
      <c r="H45">
        <f t="shared" si="5"/>
        <v>1.9379356930551739</v>
      </c>
      <c r="I45">
        <f t="shared" si="5"/>
        <v>2.5839142574068985</v>
      </c>
      <c r="J45">
        <f t="shared" si="5"/>
        <v>3.2298928217586234</v>
      </c>
    </row>
    <row r="46" spans="3:10" x14ac:dyDescent="0.15">
      <c r="C46">
        <v>45</v>
      </c>
      <c r="D46">
        <f t="shared" si="1"/>
        <v>7.7330459716724818</v>
      </c>
      <c r="E46">
        <f t="shared" si="2"/>
        <v>17.858704693603432</v>
      </c>
      <c r="F46">
        <f t="shared" si="3"/>
        <v>0.12781490790145331</v>
      </c>
      <c r="G46">
        <f t="shared" si="5"/>
        <v>1.2781490790145331</v>
      </c>
      <c r="H46">
        <f t="shared" si="5"/>
        <v>1.9172236185217997</v>
      </c>
      <c r="I46">
        <f t="shared" si="5"/>
        <v>2.5562981580290662</v>
      </c>
      <c r="J46">
        <f t="shared" si="5"/>
        <v>3.1953726975363326</v>
      </c>
    </row>
    <row r="47" spans="3:10" x14ac:dyDescent="0.15">
      <c r="C47">
        <v>46</v>
      </c>
      <c r="D47">
        <f t="shared" si="1"/>
        <v>7.8166488983451217</v>
      </c>
      <c r="E47">
        <f t="shared" si="2"/>
        <v>18.05177738248139</v>
      </c>
      <c r="F47">
        <f t="shared" si="3"/>
        <v>0.1264774288509162</v>
      </c>
      <c r="G47">
        <f t="shared" si="5"/>
        <v>1.264774288509162</v>
      </c>
      <c r="H47">
        <f t="shared" si="5"/>
        <v>1.8971614327637429</v>
      </c>
      <c r="I47">
        <f t="shared" si="5"/>
        <v>2.5295485770183239</v>
      </c>
      <c r="J47">
        <f t="shared" si="5"/>
        <v>3.1619357212729051</v>
      </c>
    </row>
    <row r="48" spans="3:10" x14ac:dyDescent="0.15">
      <c r="C48">
        <v>47</v>
      </c>
      <c r="D48">
        <f t="shared" si="1"/>
        <v>7.8993670632526003</v>
      </c>
      <c r="E48">
        <f t="shared" si="2"/>
        <v>18.242806801586209</v>
      </c>
      <c r="F48">
        <f t="shared" si="3"/>
        <v>0.12518105744316069</v>
      </c>
      <c r="G48">
        <f t="shared" si="5"/>
        <v>1.2518105744316068</v>
      </c>
      <c r="H48">
        <f t="shared" si="5"/>
        <v>1.8777158616474103</v>
      </c>
      <c r="I48">
        <f t="shared" si="5"/>
        <v>2.5036211488632136</v>
      </c>
      <c r="J48">
        <f t="shared" si="5"/>
        <v>3.1295264360790171</v>
      </c>
    </row>
    <row r="49" spans="3:10" x14ac:dyDescent="0.15">
      <c r="C49">
        <v>48</v>
      </c>
      <c r="D49">
        <f t="shared" si="1"/>
        <v>7.9812279756939661</v>
      </c>
      <c r="E49">
        <f t="shared" si="2"/>
        <v>18.431856480922733</v>
      </c>
      <c r="F49">
        <f t="shared" si="3"/>
        <v>0.1239237311426386</v>
      </c>
      <c r="G49">
        <f t="shared" si="5"/>
        <v>1.2392373114263862</v>
      </c>
      <c r="H49">
        <f t="shared" si="5"/>
        <v>1.858855967139579</v>
      </c>
      <c r="I49">
        <f t="shared" si="5"/>
        <v>2.4784746228527723</v>
      </c>
      <c r="J49">
        <f t="shared" si="5"/>
        <v>3.0980932785659649</v>
      </c>
    </row>
    <row r="50" spans="3:10" x14ac:dyDescent="0.15">
      <c r="C50">
        <v>49</v>
      </c>
      <c r="D50">
        <f t="shared" si="1"/>
        <v>8.0622577482985491</v>
      </c>
      <c r="E50">
        <f t="shared" si="2"/>
        <v>18.618986725025252</v>
      </c>
      <c r="F50">
        <f t="shared" si="3"/>
        <v>0.1227035293786798</v>
      </c>
      <c r="G50">
        <f t="shared" si="5"/>
        <v>1.2270352937867981</v>
      </c>
      <c r="H50">
        <f t="shared" si="5"/>
        <v>1.840552940680197</v>
      </c>
      <c r="I50">
        <f t="shared" si="5"/>
        <v>2.4540705875735962</v>
      </c>
      <c r="J50">
        <f t="shared" si="5"/>
        <v>3.0675882344669949</v>
      </c>
    </row>
    <row r="51" spans="3:10" x14ac:dyDescent="0.15">
      <c r="C51">
        <v>50</v>
      </c>
      <c r="D51">
        <f t="shared" si="1"/>
        <v>8.1424811943289122</v>
      </c>
      <c r="E51">
        <f t="shared" si="2"/>
        <v>18.804254837669053</v>
      </c>
      <c r="F51">
        <f t="shared" si="3"/>
        <v>0.12151866123009962</v>
      </c>
      <c r="G51">
        <f t="shared" si="5"/>
        <v>1.2151866123009962</v>
      </c>
      <c r="H51">
        <f t="shared" si="5"/>
        <v>1.8227799184514943</v>
      </c>
      <c r="I51">
        <f t="shared" si="5"/>
        <v>2.4303732246019925</v>
      </c>
      <c r="J51">
        <f t="shared" si="5"/>
        <v>3.0379665307524903</v>
      </c>
    </row>
    <row r="52" spans="3:10" x14ac:dyDescent="0.15">
      <c r="C52">
        <v>51</v>
      </c>
      <c r="D52">
        <f t="shared" si="1"/>
        <v>8.2219219164377861</v>
      </c>
      <c r="E52">
        <f t="shared" si="2"/>
        <v>18.987715326845755</v>
      </c>
      <c r="F52">
        <f t="shared" si="3"/>
        <v>0.1203674543902882</v>
      </c>
      <c r="G52">
        <f t="shared" si="5"/>
        <v>1.203674543902882</v>
      </c>
      <c r="H52">
        <f t="shared" si="5"/>
        <v>1.8055118158543231</v>
      </c>
      <c r="I52">
        <f t="shared" si="5"/>
        <v>2.407349087805764</v>
      </c>
      <c r="J52" s="1">
        <f t="shared" si="5"/>
        <v>3.0091863597572051</v>
      </c>
    </row>
    <row r="53" spans="3:10" x14ac:dyDescent="0.15">
      <c r="C53">
        <v>52</v>
      </c>
      <c r="D53">
        <f t="shared" si="1"/>
        <v>8.300602387778854</v>
      </c>
      <c r="E53">
        <f t="shared" si="2"/>
        <v>19.169420092080685</v>
      </c>
      <c r="F53">
        <f t="shared" si="3"/>
        <v>0.11924834525842712</v>
      </c>
      <c r="G53">
        <f t="shared" si="5"/>
        <v>1.1924834525842711</v>
      </c>
      <c r="H53">
        <f t="shared" si="5"/>
        <v>1.7887251788764067</v>
      </c>
      <c r="I53">
        <f t="shared" si="5"/>
        <v>2.3849669051685423</v>
      </c>
      <c r="J53">
        <f t="shared" si="5"/>
        <v>2.981208631460678</v>
      </c>
    </row>
    <row r="54" spans="3:10" x14ac:dyDescent="0.15">
      <c r="C54">
        <v>53</v>
      </c>
      <c r="D54">
        <f t="shared" si="1"/>
        <v>8.3785440262613644</v>
      </c>
      <c r="E54">
        <f t="shared" si="2"/>
        <v>19.349418595916518</v>
      </c>
      <c r="F54">
        <f t="shared" si="3"/>
        <v>0.11815987002355152</v>
      </c>
      <c r="G54">
        <f t="shared" si="5"/>
        <v>1.1815987002355153</v>
      </c>
      <c r="H54">
        <f t="shared" si="5"/>
        <v>1.7723980503532728</v>
      </c>
      <c r="I54">
        <f t="shared" si="5"/>
        <v>2.3631974004710306</v>
      </c>
      <c r="J54">
        <f t="shared" si="5"/>
        <v>2.9539967505887881</v>
      </c>
    </row>
    <row r="55" spans="3:10" x14ac:dyDescent="0.15">
      <c r="C55">
        <v>54</v>
      </c>
      <c r="D55">
        <f t="shared" si="1"/>
        <v>8.4557672626438816</v>
      </c>
      <c r="E55">
        <f t="shared" si="2"/>
        <v>19.527758021169081</v>
      </c>
      <c r="F55">
        <f t="shared" si="3"/>
        <v>0.11710065662603834</v>
      </c>
      <c r="G55">
        <f t="shared" si="5"/>
        <v>1.1710065662603835</v>
      </c>
      <c r="H55">
        <f t="shared" si="5"/>
        <v>1.7565098493905751</v>
      </c>
      <c r="I55">
        <f t="shared" si="5"/>
        <v>2.3420131325207669</v>
      </c>
      <c r="J55">
        <f t="shared" si="5"/>
        <v>2.9275164156509588</v>
      </c>
    </row>
    <row r="56" spans="3:10" x14ac:dyDescent="0.15">
      <c r="C56">
        <v>55</v>
      </c>
      <c r="D56">
        <f t="shared" si="1"/>
        <v>8.5322916030806173</v>
      </c>
      <c r="E56">
        <f t="shared" si="2"/>
        <v>19.704483415371911</v>
      </c>
      <c r="F56">
        <f t="shared" si="3"/>
        <v>0.11606941749630965</v>
      </c>
      <c r="G56">
        <f t="shared" si="5"/>
        <v>1.1606941749630966</v>
      </c>
      <c r="H56">
        <f t="shared" si="5"/>
        <v>1.7410412624446447</v>
      </c>
      <c r="I56">
        <f t="shared" si="5"/>
        <v>2.3213883499261931</v>
      </c>
      <c r="J56">
        <f t="shared" si="5"/>
        <v>2.9017354374077415</v>
      </c>
    </row>
    <row r="57" spans="3:10" x14ac:dyDescent="0.15">
      <c r="C57">
        <v>56</v>
      </c>
      <c r="D57">
        <f t="shared" si="1"/>
        <v>8.608135686662937</v>
      </c>
      <c r="E57">
        <f t="shared" si="2"/>
        <v>19.87963782366268</v>
      </c>
      <c r="F57">
        <f t="shared" si="3"/>
        <v>0.11506494298350881</v>
      </c>
      <c r="G57">
        <f t="shared" si="5"/>
        <v>1.150649429835088</v>
      </c>
      <c r="H57">
        <f t="shared" si="5"/>
        <v>1.725974144752632</v>
      </c>
      <c r="I57">
        <f t="shared" si="5"/>
        <v>2.301298859670176</v>
      </c>
      <c r="J57">
        <f t="shared" si="5"/>
        <v>2.87662357458772</v>
      </c>
    </row>
    <row r="58" spans="3:10" x14ac:dyDescent="0.15">
      <c r="C58">
        <v>57</v>
      </c>
      <c r="D58">
        <f t="shared" si="1"/>
        <v>8.6833173384369644</v>
      </c>
      <c r="E58">
        <f t="shared" si="2"/>
        <v>20.053262411222104</v>
      </c>
      <c r="F58">
        <f t="shared" si="3"/>
        <v>0.11408609539801254</v>
      </c>
      <c r="G58">
        <f t="shared" si="5"/>
        <v>1.1408609539801253</v>
      </c>
      <c r="H58">
        <f t="shared" si="5"/>
        <v>1.7112914309701881</v>
      </c>
      <c r="I58">
        <f t="shared" si="5"/>
        <v>2.2817219079602507</v>
      </c>
      <c r="J58">
        <f t="shared" si="5"/>
        <v>2.8521523849503136</v>
      </c>
    </row>
    <row r="59" spans="3:10" x14ac:dyDescent="0.15">
      <c r="C59">
        <v>58</v>
      </c>
      <c r="D59">
        <f t="shared" si="1"/>
        <v>8.7578536183245266</v>
      </c>
      <c r="E59">
        <f t="shared" si="2"/>
        <v>20.225396576252013</v>
      </c>
      <c r="F59">
        <f t="shared" si="3"/>
        <v>0.11313180360117099</v>
      </c>
      <c r="G59">
        <f t="shared" si="5"/>
        <v>1.1313180360117099</v>
      </c>
      <c r="H59">
        <f t="shared" si="5"/>
        <v>1.6969770540175648</v>
      </c>
      <c r="I59">
        <f t="shared" si="5"/>
        <v>2.2626360720234198</v>
      </c>
      <c r="J59">
        <f t="shared" si="5"/>
        <v>2.8282950900292749</v>
      </c>
    </row>
    <row r="60" spans="3:10" x14ac:dyDescent="0.15">
      <c r="C60">
        <v>59</v>
      </c>
      <c r="D60">
        <f t="shared" si="1"/>
        <v>8.8317608663278477</v>
      </c>
      <c r="E60">
        <f t="shared" si="2"/>
        <v>20.396078054371142</v>
      </c>
      <c r="F60">
        <f t="shared" si="3"/>
        <v>0.11220105808386487</v>
      </c>
      <c r="G60">
        <f t="shared" si="5"/>
        <v>1.1220105808386487</v>
      </c>
      <c r="H60">
        <f t="shared" si="5"/>
        <v>1.683015871257973</v>
      </c>
      <c r="I60">
        <f t="shared" si="5"/>
        <v>2.2440211616772974</v>
      </c>
      <c r="J60">
        <f t="shared" si="5"/>
        <v>2.8050264520966217</v>
      </c>
    </row>
    <row r="61" spans="3:10" x14ac:dyDescent="0.15">
      <c r="C61">
        <v>60</v>
      </c>
      <c r="D61">
        <f t="shared" si="1"/>
        <v>8.9050547443572743</v>
      </c>
      <c r="E61">
        <f t="shared" si="2"/>
        <v>20.565343015212104</v>
      </c>
      <c r="F61">
        <f t="shared" si="3"/>
        <v>0.11129290648254782</v>
      </c>
      <c r="G61">
        <f t="shared" si="5"/>
        <v>1.1129290648254782</v>
      </c>
      <c r="H61">
        <f t="shared" si="5"/>
        <v>1.6693935972382172</v>
      </c>
      <c r="I61">
        <f t="shared" si="5"/>
        <v>2.2258581296509563</v>
      </c>
      <c r="J61">
        <f t="shared" si="5"/>
        <v>2.7823226620636956</v>
      </c>
    </row>
    <row r="62" spans="3:10" x14ac:dyDescent="0.15">
      <c r="C62">
        <v>61</v>
      </c>
      <c r="D62">
        <f t="shared" si="1"/>
        <v>8.977750274985377</v>
      </c>
      <c r="E62">
        <f t="shared" si="2"/>
        <v>20.733226151920174</v>
      </c>
      <c r="F62">
        <f t="shared" si="3"/>
        <v>0.11040644948755744</v>
      </c>
      <c r="G62">
        <f t="shared" si="5"/>
        <v>1.1040644948755745</v>
      </c>
      <c r="H62">
        <f t="shared" si="5"/>
        <v>1.6560967423133617</v>
      </c>
      <c r="I62">
        <f t="shared" si="5"/>
        <v>2.2081289897511489</v>
      </c>
      <c r="J62">
        <f t="shared" si="5"/>
        <v>2.7601612371889361</v>
      </c>
    </row>
    <row r="63" spans="3:10" x14ac:dyDescent="0.15">
      <c r="C63">
        <v>62</v>
      </c>
      <c r="D63">
        <f t="shared" si="1"/>
        <v>9.0498618773990138</v>
      </c>
      <c r="E63">
        <f t="shared" si="2"/>
        <v>20.899760764181007</v>
      </c>
      <c r="F63">
        <f t="shared" si="3"/>
        <v>0.10954083710378792</v>
      </c>
      <c r="G63">
        <f t="shared" si="5"/>
        <v>1.0954083710378792</v>
      </c>
      <c r="H63">
        <f t="shared" si="5"/>
        <v>1.6431125565568188</v>
      </c>
      <c r="I63">
        <f t="shared" si="5"/>
        <v>2.1908167420757585</v>
      </c>
      <c r="J63">
        <f t="shared" si="5"/>
        <v>2.7385209275946982</v>
      </c>
    </row>
    <row r="64" spans="3:10" x14ac:dyDescent="0.15">
      <c r="C64">
        <v>63</v>
      </c>
      <c r="D64">
        <f t="shared" si="1"/>
        <v>9.1214034007931044</v>
      </c>
      <c r="E64">
        <f t="shared" si="2"/>
        <v>21.064978835340266</v>
      </c>
      <c r="F64">
        <f t="shared" si="3"/>
        <v>0.10869526522842463</v>
      </c>
      <c r="G64">
        <f t="shared" si="5"/>
        <v>1.0869526522842463</v>
      </c>
      <c r="H64">
        <f t="shared" si="5"/>
        <v>1.6304289784263695</v>
      </c>
      <c r="I64">
        <f t="shared" si="5"/>
        <v>2.1739053045684926</v>
      </c>
      <c r="J64">
        <f t="shared" si="5"/>
        <v>2.7173816307106158</v>
      </c>
    </row>
    <row r="65" spans="3:10" x14ac:dyDescent="0.15">
      <c r="C65">
        <v>64</v>
      </c>
      <c r="D65">
        <f t="shared" si="1"/>
        <v>9.1923881554251174</v>
      </c>
      <c r="E65">
        <f t="shared" si="2"/>
        <v>21.228911104120876</v>
      </c>
      <c r="F65">
        <f t="shared" si="3"/>
        <v>0.10786897251446177</v>
      </c>
      <c r="G65">
        <f t="shared" si="5"/>
        <v>1.0786897251446177</v>
      </c>
      <c r="H65">
        <f t="shared" si="5"/>
        <v>1.6180345877169267</v>
      </c>
      <c r="I65">
        <f t="shared" si="5"/>
        <v>2.1573794502892354</v>
      </c>
      <c r="J65">
        <f t="shared" si="5"/>
        <v>2.6967243128615443</v>
      </c>
    </row>
    <row r="66" spans="3:10" x14ac:dyDescent="0.15">
      <c r="C66">
        <v>65</v>
      </c>
      <c r="D66">
        <f t="shared" si="1"/>
        <v>9.2628289415275287</v>
      </c>
      <c r="E66">
        <f t="shared" si="2"/>
        <v>21.391587131393496</v>
      </c>
      <c r="F66">
        <f t="shared" si="3"/>
        <v>0.10706123749222723</v>
      </c>
      <c r="G66">
        <f t="shared" si="5"/>
        <v>1.0706123749222725</v>
      </c>
      <c r="H66">
        <f t="shared" si="5"/>
        <v>1.6059185623834085</v>
      </c>
      <c r="I66">
        <f t="shared" si="5"/>
        <v>2.1412247498445449</v>
      </c>
      <c r="J66">
        <f t="shared" si="5"/>
        <v>2.6765309373056807</v>
      </c>
    </row>
    <row r="67" spans="3:10" x14ac:dyDescent="0.15">
      <c r="C67">
        <v>66</v>
      </c>
      <c r="D67">
        <f t="shared" ref="D67:D101" si="6">(1.3*(C67+1))^0.5</f>
        <v>9.3327380762560779</v>
      </c>
      <c r="E67">
        <f t="shared" ref="E67:E101" si="7">4*3^0.5*D67/3</f>
        <v>21.553035362410867</v>
      </c>
      <c r="F67">
        <f t="shared" ref="F67:F101" si="8">(8+16*C67)/E67^3</f>
        <v>0.1062713759242094</v>
      </c>
      <c r="G67">
        <f t="shared" ref="G67:J101" si="9">$F67*G$1</f>
        <v>1.0627137592420941</v>
      </c>
      <c r="H67">
        <f t="shared" si="9"/>
        <v>1.5940706388631412</v>
      </c>
      <c r="I67">
        <f t="shared" si="9"/>
        <v>2.1254275184841882</v>
      </c>
      <c r="J67">
        <f t="shared" si="9"/>
        <v>2.656784398105235</v>
      </c>
    </row>
    <row r="68" spans="3:10" x14ac:dyDescent="0.15">
      <c r="C68">
        <v>67</v>
      </c>
      <c r="D68">
        <f t="shared" si="6"/>
        <v>9.4021274188345263</v>
      </c>
      <c r="E68">
        <f t="shared" si="7"/>
        <v>21.713283184877099</v>
      </c>
      <c r="F68">
        <f t="shared" si="8"/>
        <v>0.10549873837116903</v>
      </c>
      <c r="G68">
        <f t="shared" si="9"/>
        <v>1.0549873837116903</v>
      </c>
      <c r="H68">
        <f t="shared" si="9"/>
        <v>1.5824810755675356</v>
      </c>
      <c r="I68">
        <f t="shared" si="9"/>
        <v>2.1099747674233806</v>
      </c>
      <c r="J68">
        <f t="shared" si="9"/>
        <v>2.6374684592792259</v>
      </c>
    </row>
    <row r="69" spans="3:10" x14ac:dyDescent="0.15">
      <c r="C69">
        <v>68</v>
      </c>
      <c r="D69">
        <f t="shared" si="6"/>
        <v>9.4710083940412595</v>
      </c>
      <c r="E69">
        <f t="shared" si="7"/>
        <v>21.872356983187704</v>
      </c>
      <c r="F69">
        <f t="shared" si="8"/>
        <v>0.10474270794988018</v>
      </c>
      <c r="G69">
        <f t="shared" si="9"/>
        <v>1.0474270794988019</v>
      </c>
      <c r="H69">
        <f t="shared" si="9"/>
        <v>1.5711406192482027</v>
      </c>
      <c r="I69">
        <f t="shared" si="9"/>
        <v>2.0948541589976037</v>
      </c>
      <c r="J69">
        <f t="shared" si="9"/>
        <v>2.6185676987470043</v>
      </c>
    </row>
    <row r="70" spans="3:10" x14ac:dyDescent="0.15">
      <c r="C70">
        <v>69</v>
      </c>
      <c r="D70">
        <f t="shared" si="6"/>
        <v>9.5393920141694561</v>
      </c>
      <c r="E70">
        <f t="shared" si="7"/>
        <v>22.030282189144405</v>
      </c>
      <c r="F70">
        <f t="shared" si="8"/>
        <v>0.10400269826492749</v>
      </c>
      <c r="G70">
        <f t="shared" si="9"/>
        <v>1.040026982649275</v>
      </c>
      <c r="H70">
        <f t="shared" si="9"/>
        <v>1.5600404739739122</v>
      </c>
      <c r="I70">
        <f t="shared" si="9"/>
        <v>2.0800539652985499</v>
      </c>
      <c r="J70">
        <f t="shared" si="9"/>
        <v>2.6000674566231874</v>
      </c>
    </row>
    <row r="71" spans="3:10" x14ac:dyDescent="0.15">
      <c r="C71">
        <v>70</v>
      </c>
      <c r="D71">
        <f t="shared" si="6"/>
        <v>9.6072888995803591</v>
      </c>
      <c r="E71">
        <f t="shared" si="7"/>
        <v>22.187083329420897</v>
      </c>
      <c r="F71">
        <f t="shared" si="8"/>
        <v>0.1032781514988159</v>
      </c>
      <c r="G71">
        <f t="shared" si="9"/>
        <v>1.032781514988159</v>
      </c>
      <c r="H71">
        <f t="shared" si="9"/>
        <v>1.5491722724822385</v>
      </c>
      <c r="I71">
        <f t="shared" si="9"/>
        <v>2.0655630299763179</v>
      </c>
      <c r="J71">
        <f t="shared" si="9"/>
        <v>2.5819537874703977</v>
      </c>
    </row>
    <row r="72" spans="3:10" x14ac:dyDescent="0.15">
      <c r="C72">
        <v>71</v>
      </c>
      <c r="D72">
        <f t="shared" si="6"/>
        <v>9.6747092979582607</v>
      </c>
      <c r="E72">
        <f t="shared" si="7"/>
        <v>22.342784070030305</v>
      </c>
      <c r="F72">
        <f t="shared" si="8"/>
        <v>0.10256853664627294</v>
      </c>
      <c r="G72">
        <f t="shared" si="9"/>
        <v>1.0256853664627295</v>
      </c>
      <c r="H72">
        <f t="shared" si="9"/>
        <v>1.5385280496940941</v>
      </c>
      <c r="I72">
        <f t="shared" si="9"/>
        <v>2.0513707329254589</v>
      </c>
      <c r="J72">
        <f t="shared" si="9"/>
        <v>2.5642134161568233</v>
      </c>
    </row>
    <row r="73" spans="3:10" x14ac:dyDescent="0.15">
      <c r="C73">
        <v>72</v>
      </c>
      <c r="D73">
        <f t="shared" si="6"/>
        <v>9.7416631023660436</v>
      </c>
      <c r="E73">
        <f t="shared" si="7"/>
        <v>22.497407258022719</v>
      </c>
      <c r="F73">
        <f t="shared" si="8"/>
        <v>0.10187334788005332</v>
      </c>
      <c r="G73">
        <f t="shared" si="9"/>
        <v>1.0187334788005333</v>
      </c>
      <c r="H73">
        <f t="shared" si="9"/>
        <v>1.5281002182007999</v>
      </c>
      <c r="I73">
        <f t="shared" si="9"/>
        <v>2.0374669576010667</v>
      </c>
      <c r="J73">
        <f t="shared" si="9"/>
        <v>2.546833697001333</v>
      </c>
    </row>
    <row r="74" spans="3:10" x14ac:dyDescent="0.15">
      <c r="C74">
        <v>73</v>
      </c>
      <c r="D74">
        <f t="shared" si="6"/>
        <v>9.8081598681913835</v>
      </c>
      <c r="E74">
        <f t="shared" si="7"/>
        <v>22.650974960620715</v>
      </c>
      <c r="F74">
        <f t="shared" si="8"/>
        <v>0.1011921030368302</v>
      </c>
      <c r="G74">
        <f t="shared" si="9"/>
        <v>1.0119210303683019</v>
      </c>
      <c r="H74">
        <f t="shared" si="9"/>
        <v>1.517881545552453</v>
      </c>
      <c r="I74">
        <f t="shared" si="9"/>
        <v>2.0238420607366039</v>
      </c>
      <c r="J74">
        <f t="shared" si="9"/>
        <v>2.5298025759207547</v>
      </c>
    </row>
    <row r="75" spans="3:10" x14ac:dyDescent="0.15">
      <c r="C75">
        <v>74</v>
      </c>
      <c r="D75">
        <f t="shared" si="6"/>
        <v>9.8742088290657488</v>
      </c>
      <c r="E75">
        <f t="shared" si="7"/>
        <v>22.803508501982758</v>
      </c>
      <c r="F75">
        <f t="shared" si="8"/>
        <v>0.10052434221288258</v>
      </c>
      <c r="G75">
        <f t="shared" si="9"/>
        <v>1.0052434221288258</v>
      </c>
      <c r="H75">
        <f t="shared" si="9"/>
        <v>1.5078651331932387</v>
      </c>
      <c r="I75">
        <f t="shared" si="9"/>
        <v>2.0104868442576516</v>
      </c>
      <c r="J75">
        <f t="shared" si="9"/>
        <v>2.5131085553220642</v>
      </c>
    </row>
    <row r="76" spans="3:10" x14ac:dyDescent="0.15">
      <c r="C76">
        <v>75</v>
      </c>
      <c r="D76">
        <f t="shared" si="6"/>
        <v>9.9398189118313418</v>
      </c>
      <c r="E76">
        <f t="shared" si="7"/>
        <v>22.955028497767831</v>
      </c>
      <c r="F76">
        <f t="shared" si="8"/>
        <v>9.9869626460294569E-2</v>
      </c>
      <c r="G76">
        <f t="shared" si="9"/>
        <v>0.99869626460294569</v>
      </c>
      <c r="H76">
        <f t="shared" si="9"/>
        <v>1.4980443969044186</v>
      </c>
      <c r="I76">
        <f t="shared" si="9"/>
        <v>1.9973925292058914</v>
      </c>
      <c r="J76">
        <f t="shared" si="9"/>
        <v>2.4967406615073644</v>
      </c>
    </row>
    <row r="77" spans="3:10" x14ac:dyDescent="0.15">
      <c r="C77">
        <v>76</v>
      </c>
      <c r="D77">
        <f t="shared" si="6"/>
        <v>10.00499875062461</v>
      </c>
      <c r="E77">
        <f t="shared" si="7"/>
        <v>23.105554887659949</v>
      </c>
      <c r="F77">
        <f t="shared" si="8"/>
        <v>9.9227536575274625E-2</v>
      </c>
      <c r="G77">
        <f t="shared" si="9"/>
        <v>0.99227536575274622</v>
      </c>
      <c r="H77">
        <f t="shared" si="9"/>
        <v>1.4884130486291194</v>
      </c>
      <c r="I77">
        <f t="shared" si="9"/>
        <v>1.9845507315054924</v>
      </c>
      <c r="J77">
        <f t="shared" si="9"/>
        <v>2.4806884143818655</v>
      </c>
    </row>
    <row r="78" spans="3:10" x14ac:dyDescent="0.15">
      <c r="C78">
        <v>77</v>
      </c>
      <c r="D78">
        <f t="shared" si="6"/>
        <v>10.069756700139283</v>
      </c>
      <c r="E78">
        <f t="shared" si="7"/>
        <v>23.255106965997811</v>
      </c>
      <c r="F78">
        <f t="shared" si="8"/>
        <v>9.8597671971002346E-2</v>
      </c>
      <c r="G78">
        <f t="shared" si="9"/>
        <v>0.98597671971002343</v>
      </c>
      <c r="H78">
        <f t="shared" si="9"/>
        <v>1.4789650795650351</v>
      </c>
      <c r="I78">
        <f t="shared" si="9"/>
        <v>1.9719534394200469</v>
      </c>
      <c r="J78">
        <f t="shared" si="9"/>
        <v>2.4649417992750586</v>
      </c>
    </row>
    <row r="79" spans="3:10" x14ac:dyDescent="0.15">
      <c r="C79">
        <v>78</v>
      </c>
      <c r="D79">
        <f t="shared" si="6"/>
        <v>10.134100848126586</v>
      </c>
      <c r="E79">
        <f t="shared" si="7"/>
        <v>23.403703410642795</v>
      </c>
      <c r="F79">
        <f t="shared" si="8"/>
        <v>9.7979649628122154E-2</v>
      </c>
      <c r="G79">
        <f t="shared" si="9"/>
        <v>0.97979649628122156</v>
      </c>
      <c r="H79">
        <f t="shared" si="9"/>
        <v>1.4696947444218322</v>
      </c>
      <c r="I79">
        <f t="shared" si="9"/>
        <v>1.9595929925624431</v>
      </c>
      <c r="J79">
        <f t="shared" si="9"/>
        <v>2.449491240703054</v>
      </c>
    </row>
    <row r="80" spans="3:10" x14ac:dyDescent="0.15">
      <c r="C80">
        <v>79</v>
      </c>
      <c r="D80">
        <f t="shared" si="6"/>
        <v>10.198039027185569</v>
      </c>
      <c r="E80">
        <f t="shared" si="7"/>
        <v>23.55136231020759</v>
      </c>
      <c r="F80">
        <f t="shared" si="8"/>
        <v>9.7373103116641629E-2</v>
      </c>
      <c r="G80">
        <f t="shared" si="9"/>
        <v>0.97373103116641624</v>
      </c>
      <c r="H80">
        <f t="shared" si="9"/>
        <v>1.4605965467496245</v>
      </c>
      <c r="I80">
        <f t="shared" si="9"/>
        <v>1.9474620623328325</v>
      </c>
      <c r="J80">
        <f t="shared" si="9"/>
        <v>2.4343275779160409</v>
      </c>
    </row>
    <row r="81" spans="3:10" x14ac:dyDescent="0.15">
      <c r="C81">
        <v>80</v>
      </c>
      <c r="D81">
        <f t="shared" si="6"/>
        <v>10.261578825892242</v>
      </c>
      <c r="E81">
        <f t="shared" si="7"/>
        <v>23.698101189757796</v>
      </c>
      <c r="F81">
        <f t="shared" si="8"/>
        <v>9.6777681683565028E-2</v>
      </c>
      <c r="G81">
        <f t="shared" si="9"/>
        <v>0.96777681683565031</v>
      </c>
      <c r="H81">
        <f t="shared" si="9"/>
        <v>1.4516652252534754</v>
      </c>
      <c r="I81">
        <f t="shared" si="9"/>
        <v>1.9355536336713006</v>
      </c>
      <c r="J81">
        <f t="shared" si="9"/>
        <v>2.4194420420891256</v>
      </c>
    </row>
    <row r="82" spans="3:10" x14ac:dyDescent="0.15">
      <c r="C82">
        <v>81</v>
      </c>
      <c r="D82">
        <f t="shared" si="6"/>
        <v>10.324727599312245</v>
      </c>
      <c r="E82">
        <f t="shared" si="7"/>
        <v>23.843937035089933</v>
      </c>
      <c r="F82">
        <f t="shared" si="8"/>
        <v>9.6193049401103542E-2</v>
      </c>
      <c r="G82">
        <f t="shared" si="9"/>
        <v>0.96193049401103536</v>
      </c>
      <c r="H82">
        <f t="shared" si="9"/>
        <v>1.442895741016553</v>
      </c>
      <c r="I82">
        <f t="shared" si="9"/>
        <v>1.9238609880220707</v>
      </c>
      <c r="J82">
        <f t="shared" si="9"/>
        <v>2.4048262350275884</v>
      </c>
    </row>
    <row r="83" spans="3:10" x14ac:dyDescent="0.15">
      <c r="C83">
        <v>82</v>
      </c>
      <c r="D83">
        <f t="shared" si="6"/>
        <v>10.387492478938313</v>
      </c>
      <c r="E83">
        <f t="shared" si="7"/>
        <v>23.98888631568099</v>
      </c>
      <c r="F83">
        <f t="shared" si="8"/>
        <v>9.561888437076782E-2</v>
      </c>
      <c r="G83">
        <f t="shared" si="9"/>
        <v>0.9561888437076782</v>
      </c>
      <c r="H83">
        <f t="shared" si="9"/>
        <v>1.4342832655615174</v>
      </c>
      <c r="I83">
        <f t="shared" si="9"/>
        <v>1.9123776874153564</v>
      </c>
      <c r="J83">
        <f t="shared" si="9"/>
        <v>2.3904721092691954</v>
      </c>
    </row>
    <row r="84" spans="3:10" x14ac:dyDescent="0.15">
      <c r="C84">
        <v>83</v>
      </c>
      <c r="D84">
        <f t="shared" si="6"/>
        <v>10.449880382090505</v>
      </c>
      <c r="E84">
        <f t="shared" si="7"/>
        <v>24.13296500639737</v>
      </c>
      <c r="F84">
        <f t="shared" si="8"/>
        <v>9.5054877979060717E-2</v>
      </c>
      <c r="G84">
        <f t="shared" si="9"/>
        <v>0.95054877979060715</v>
      </c>
      <c r="H84">
        <f t="shared" si="9"/>
        <v>1.4258231696859107</v>
      </c>
      <c r="I84">
        <f t="shared" si="9"/>
        <v>1.9010975595812143</v>
      </c>
      <c r="J84">
        <f t="shared" si="9"/>
        <v>2.3763719494765181</v>
      </c>
    </row>
    <row r="85" spans="3:10" x14ac:dyDescent="0.15">
      <c r="C85">
        <v>84</v>
      </c>
      <c r="D85">
        <f t="shared" si="6"/>
        <v>10.51189802081432</v>
      </c>
      <c r="E85">
        <f t="shared" si="7"/>
        <v>24.276188608044166</v>
      </c>
      <c r="F85">
        <f t="shared" si="8"/>
        <v>9.4500734200863967E-2</v>
      </c>
      <c r="G85">
        <f t="shared" si="9"/>
        <v>0.94500734200863967</v>
      </c>
      <c r="H85">
        <f t="shared" si="9"/>
        <v>1.4175110130129596</v>
      </c>
      <c r="I85">
        <f t="shared" si="9"/>
        <v>1.8900146840172793</v>
      </c>
      <c r="J85">
        <f t="shared" si="9"/>
        <v>2.3625183550215993</v>
      </c>
    </row>
    <row r="86" spans="3:10" x14ac:dyDescent="0.15">
      <c r="C86">
        <v>85</v>
      </c>
      <c r="D86">
        <f t="shared" si="6"/>
        <v>10.573551910309043</v>
      </c>
      <c r="E86">
        <f t="shared" si="7"/>
        <v>24.41857216682963</v>
      </c>
      <c r="F86">
        <f t="shared" si="8"/>
        <v>9.395616894694897E-2</v>
      </c>
      <c r="G86">
        <f t="shared" si="9"/>
        <v>0.9395616894694897</v>
      </c>
      <c r="H86">
        <f t="shared" si="9"/>
        <v>1.4093425342042345</v>
      </c>
      <c r="I86">
        <f t="shared" si="9"/>
        <v>1.8791233789389794</v>
      </c>
      <c r="J86">
        <f t="shared" si="9"/>
        <v>2.3489042236737241</v>
      </c>
    </row>
    <row r="87" spans="3:10" x14ac:dyDescent="0.15">
      <c r="C87">
        <v>86</v>
      </c>
      <c r="D87">
        <f t="shared" si="6"/>
        <v>10.634848376916334</v>
      </c>
      <c r="E87">
        <f t="shared" si="7"/>
        <v>24.560130292813998</v>
      </c>
      <c r="F87">
        <f t="shared" si="8"/>
        <v>9.3420909452346643E-2</v>
      </c>
      <c r="G87">
        <f t="shared" si="9"/>
        <v>0.93420909452346645</v>
      </c>
      <c r="H87">
        <f t="shared" si="9"/>
        <v>1.4013136417851997</v>
      </c>
      <c r="I87">
        <f t="shared" si="9"/>
        <v>1.8684181890469329</v>
      </c>
      <c r="J87">
        <f t="shared" si="9"/>
        <v>2.3355227363086661</v>
      </c>
    </row>
    <row r="88" spans="3:10" x14ac:dyDescent="0.15">
      <c r="C88">
        <v>87</v>
      </c>
      <c r="D88">
        <f t="shared" si="6"/>
        <v>10.69579356569675</v>
      </c>
      <c r="E88">
        <f t="shared" si="7"/>
        <v>24.700877177406742</v>
      </c>
      <c r="F88">
        <f t="shared" si="8"/>
        <v>9.2894693702586961E-2</v>
      </c>
      <c r="G88">
        <f t="shared" si="9"/>
        <v>0.92894693702586961</v>
      </c>
      <c r="H88">
        <f t="shared" si="9"/>
        <v>1.3934204055388044</v>
      </c>
      <c r="I88">
        <f t="shared" si="9"/>
        <v>1.8578938740517392</v>
      </c>
      <c r="J88">
        <f t="shared" si="9"/>
        <v>2.3223673425646743</v>
      </c>
    </row>
    <row r="89" spans="3:10" x14ac:dyDescent="0.15">
      <c r="C89">
        <v>88</v>
      </c>
      <c r="D89">
        <f t="shared" si="6"/>
        <v>10.756393447619885</v>
      </c>
      <c r="E89">
        <f t="shared" si="7"/>
        <v>24.840826609971469</v>
      </c>
      <c r="F89">
        <f t="shared" si="8"/>
        <v>9.2377269895069003E-2</v>
      </c>
      <c r="G89">
        <f t="shared" si="9"/>
        <v>0.92377269895069003</v>
      </c>
      <c r="H89">
        <f t="shared" si="9"/>
        <v>1.3856590484260352</v>
      </c>
      <c r="I89">
        <f t="shared" si="9"/>
        <v>1.8475453979013801</v>
      </c>
      <c r="J89">
        <f t="shared" si="9"/>
        <v>2.309431747376725</v>
      </c>
    </row>
    <row r="90" spans="3:10" x14ac:dyDescent="0.15">
      <c r="C90">
        <v>89</v>
      </c>
      <c r="D90">
        <f t="shared" si="6"/>
        <v>10.816653826391969</v>
      </c>
      <c r="E90">
        <f t="shared" si="7"/>
        <v>24.979991993593597</v>
      </c>
      <c r="F90">
        <f t="shared" si="8"/>
        <v>9.1868395933046729E-2</v>
      </c>
      <c r="G90">
        <f t="shared" si="9"/>
        <v>0.91868395933046731</v>
      </c>
      <c r="H90">
        <f t="shared" si="9"/>
        <v>1.378025938995701</v>
      </c>
      <c r="I90">
        <f t="shared" si="9"/>
        <v>1.8373679186609346</v>
      </c>
      <c r="J90">
        <f t="shared" si="9"/>
        <v>2.296709898326168</v>
      </c>
    </row>
    <row r="91" spans="3:10" x14ac:dyDescent="0.15">
      <c r="C91">
        <v>90</v>
      </c>
      <c r="D91">
        <f t="shared" si="6"/>
        <v>10.876580344942981</v>
      </c>
      <c r="E91">
        <f t="shared" si="7"/>
        <v>25.118386360061692</v>
      </c>
      <c r="F91">
        <f t="shared" si="8"/>
        <v>9.1367838949923216E-2</v>
      </c>
      <c r="G91">
        <f t="shared" si="9"/>
        <v>0.91367838949923219</v>
      </c>
      <c r="H91">
        <f t="shared" si="9"/>
        <v>1.3705175842488482</v>
      </c>
      <c r="I91">
        <f t="shared" si="9"/>
        <v>1.8273567789984644</v>
      </c>
      <c r="J91">
        <f t="shared" si="9"/>
        <v>2.2841959737480804</v>
      </c>
    </row>
    <row r="92" spans="3:10" x14ac:dyDescent="0.15">
      <c r="C92">
        <v>91</v>
      </c>
      <c r="D92">
        <f t="shared" si="6"/>
        <v>10.936178491593854</v>
      </c>
      <c r="E92">
        <f t="shared" si="7"/>
        <v>25.256022384110025</v>
      </c>
      <c r="F92">
        <f t="shared" si="8"/>
        <v>9.0875374861729932E-2</v>
      </c>
      <c r="G92">
        <f t="shared" si="9"/>
        <v>0.9087537486172993</v>
      </c>
      <c r="H92">
        <f t="shared" si="9"/>
        <v>1.363130622925949</v>
      </c>
      <c r="I92">
        <f t="shared" si="9"/>
        <v>1.8175074972345986</v>
      </c>
      <c r="J92">
        <f t="shared" si="9"/>
        <v>2.2718843715432482</v>
      </c>
    </row>
    <row r="93" spans="3:10" x14ac:dyDescent="0.15">
      <c r="C93">
        <v>92</v>
      </c>
      <c r="D93">
        <f t="shared" si="6"/>
        <v>10.995453605922767</v>
      </c>
      <c r="E93">
        <f t="shared" si="7"/>
        <v>25.392912396966199</v>
      </c>
      <c r="F93">
        <f t="shared" si="8"/>
        <v>9.0390787945841045E-2</v>
      </c>
      <c r="G93">
        <f t="shared" si="9"/>
        <v>0.90390787945841045</v>
      </c>
      <c r="H93">
        <f t="shared" si="9"/>
        <v>1.3558618191876157</v>
      </c>
      <c r="I93">
        <f t="shared" si="9"/>
        <v>1.8078157589168209</v>
      </c>
      <c r="J93">
        <f t="shared" si="9"/>
        <v>2.2597696986460263</v>
      </c>
    </row>
    <row r="94" spans="3:10" x14ac:dyDescent="0.15">
      <c r="C94">
        <v>93</v>
      </c>
      <c r="D94">
        <f t="shared" si="6"/>
        <v>11.054410884348384</v>
      </c>
      <c r="E94">
        <f t="shared" si="7"/>
        <v>25.529068399245073</v>
      </c>
      <c r="F94">
        <f t="shared" si="8"/>
        <v>8.991387044412151E-2</v>
      </c>
      <c r="G94">
        <f t="shared" si="9"/>
        <v>0.89913870444121513</v>
      </c>
      <c r="H94">
        <f t="shared" si="9"/>
        <v>1.3487080566618226</v>
      </c>
      <c r="I94">
        <f t="shared" si="9"/>
        <v>1.7982774088824303</v>
      </c>
      <c r="J94">
        <f t="shared" si="9"/>
        <v>2.2478467611030379</v>
      </c>
    </row>
    <row r="95" spans="3:10" x14ac:dyDescent="0.15">
      <c r="C95">
        <v>94</v>
      </c>
      <c r="D95">
        <f t="shared" si="6"/>
        <v>11.113055385446435</v>
      </c>
      <c r="E95">
        <f t="shared" si="7"/>
        <v>25.664502073226874</v>
      </c>
      <c r="F95">
        <f t="shared" si="8"/>
        <v>8.9444422188855191E-2</v>
      </c>
      <c r="G95">
        <f t="shared" si="9"/>
        <v>0.89444422188855188</v>
      </c>
      <c r="H95">
        <f t="shared" si="9"/>
        <v>1.3416663328328278</v>
      </c>
      <c r="I95">
        <f t="shared" si="9"/>
        <v>1.7888884437771038</v>
      </c>
      <c r="J95">
        <f t="shared" si="9"/>
        <v>2.23611055472138</v>
      </c>
    </row>
    <row r="96" spans="3:10" x14ac:dyDescent="0.15">
      <c r="C96">
        <v>95</v>
      </c>
      <c r="D96">
        <f t="shared" si="6"/>
        <v>11.171392035015154</v>
      </c>
      <c r="E96">
        <f t="shared" si="7"/>
        <v>25.799224794555361</v>
      </c>
      <c r="F96">
        <f t="shared" si="8"/>
        <v>8.8982250249920403E-2</v>
      </c>
      <c r="G96">
        <f t="shared" si="9"/>
        <v>0.88982250249920403</v>
      </c>
      <c r="H96">
        <f t="shared" si="9"/>
        <v>1.334733753748806</v>
      </c>
      <c r="I96">
        <f t="shared" si="9"/>
        <v>1.7796450049984081</v>
      </c>
      <c r="J96">
        <f t="shared" si="9"/>
        <v>2.2245562562480101</v>
      </c>
    </row>
    <row r="97" spans="3:10" x14ac:dyDescent="0.15">
      <c r="C97">
        <v>96</v>
      </c>
      <c r="D97">
        <f t="shared" si="6"/>
        <v>11.229425630903835</v>
      </c>
      <c r="E97">
        <f t="shared" si="7"/>
        <v>25.933247643388849</v>
      </c>
      <c r="F97">
        <f t="shared" si="8"/>
        <v>8.8527168601804596E-2</v>
      </c>
      <c r="G97">
        <f t="shared" si="9"/>
        <v>0.88527168601804596</v>
      </c>
      <c r="H97">
        <f t="shared" si="9"/>
        <v>1.327907529027069</v>
      </c>
      <c r="I97">
        <f t="shared" si="9"/>
        <v>1.7705433720360919</v>
      </c>
      <c r="J97">
        <f t="shared" si="9"/>
        <v>2.2131792150451148</v>
      </c>
    </row>
    <row r="98" spans="3:10" x14ac:dyDescent="0.15">
      <c r="C98">
        <v>97</v>
      </c>
      <c r="D98">
        <f t="shared" si="6"/>
        <v>11.287160847617971</v>
      </c>
      <c r="E98">
        <f t="shared" si="7"/>
        <v>26.066581415035358</v>
      </c>
      <c r="F98">
        <f t="shared" si="8"/>
        <v>8.8078997809150364E-2</v>
      </c>
      <c r="G98">
        <f t="shared" si="9"/>
        <v>0.88078997809150361</v>
      </c>
      <c r="H98">
        <f t="shared" si="9"/>
        <v>1.3211849671372555</v>
      </c>
      <c r="I98">
        <f t="shared" si="9"/>
        <v>1.7615799561830072</v>
      </c>
      <c r="J98">
        <f t="shared" si="9"/>
        <v>2.2019749452287591</v>
      </c>
    </row>
    <row r="99" spans="3:10" x14ac:dyDescent="0.15">
      <c r="C99">
        <v>98</v>
      </c>
      <c r="D99">
        <f t="shared" si="6"/>
        <v>11.344602240713423</v>
      </c>
      <c r="E99">
        <f t="shared" si="7"/>
        <v>26.199236630100504</v>
      </c>
      <c r="F99">
        <f t="shared" si="8"/>
        <v>8.7637564729628858E-2</v>
      </c>
      <c r="G99">
        <f t="shared" si="9"/>
        <v>0.87637564729628858</v>
      </c>
      <c r="H99">
        <f t="shared" si="9"/>
        <v>1.3145634709444329</v>
      </c>
      <c r="I99">
        <f t="shared" si="9"/>
        <v>1.7527512945925772</v>
      </c>
      <c r="J99">
        <f t="shared" si="9"/>
        <v>2.1909391182407214</v>
      </c>
    </row>
    <row r="100" spans="3:10" x14ac:dyDescent="0.15">
      <c r="C100">
        <v>99</v>
      </c>
      <c r="D100">
        <f t="shared" si="6"/>
        <v>11.401754250991379</v>
      </c>
      <c r="E100">
        <f t="shared" si="7"/>
        <v>26.33122354417533</v>
      </c>
      <c r="F100">
        <f t="shared" si="8"/>
        <v>8.7202702233021498E-2</v>
      </c>
      <c r="G100">
        <f t="shared" si="9"/>
        <v>0.87202702233021501</v>
      </c>
      <c r="H100">
        <f t="shared" si="9"/>
        <v>1.3080405334953225</v>
      </c>
      <c r="I100">
        <f t="shared" si="9"/>
        <v>1.74405404466043</v>
      </c>
      <c r="J100">
        <f t="shared" si="9"/>
        <v>2.1800675558255374</v>
      </c>
    </row>
    <row r="101" spans="3:10" x14ac:dyDescent="0.15">
      <c r="C101">
        <v>100</v>
      </c>
      <c r="D101">
        <f t="shared" si="6"/>
        <v>11.458621208504974</v>
      </c>
      <c r="E101">
        <f t="shared" si="7"/>
        <v>26.462552157089206</v>
      </c>
      <c r="F101">
        <f t="shared" si="8"/>
        <v>8.6774248935476764E-2</v>
      </c>
      <c r="G101">
        <f t="shared" si="9"/>
        <v>0.86774248935476761</v>
      </c>
      <c r="H101">
        <f t="shared" si="9"/>
        <v>1.3016137340321514</v>
      </c>
      <c r="I101">
        <f t="shared" si="9"/>
        <v>1.7354849787095352</v>
      </c>
      <c r="J101">
        <f t="shared" si="9"/>
        <v>2.1693562233869192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6-Phantom (2)</vt:lpstr>
      <vt:lpstr>4-Phantom_mod</vt:lpstr>
      <vt:lpstr>4-Phantom</vt:lpstr>
      <vt:lpstr>6-Phantom</vt:lpstr>
      <vt:lpstr>8-Phantom</vt:lpstr>
      <vt:lpstr>4-KG</vt:lpstr>
      <vt:lpstr>4-KG_old</vt:lpstr>
      <vt:lpstr>4-DPD</vt:lpstr>
      <vt:lpstr>Sheet2</vt:lpstr>
      <vt:lpstr>Sheet3</vt:lpstr>
    </vt:vector>
  </TitlesOfParts>
  <Company>東亞合成株式会社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東亞合成株式会社</dc:creator>
  <cp:lastModifiedBy>東亞合成株式会社</cp:lastModifiedBy>
  <dcterms:created xsi:type="dcterms:W3CDTF">2017-05-16T06:45:12Z</dcterms:created>
  <dcterms:modified xsi:type="dcterms:W3CDTF">2017-09-12T05:41:19Z</dcterms:modified>
</cp:coreProperties>
</file>